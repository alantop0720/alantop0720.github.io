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46F2CD91-9F89-4D85-A724-A8514AC7B1F6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</workbook>
</file>

<file path=xl/calcChain.xml><?xml version="1.0" encoding="utf-8"?>
<calcChain xmlns="http://schemas.openxmlformats.org/spreadsheetml/2006/main">
  <c r="L17" i="10" l="1"/>
  <c r="L16" i="10"/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<sst xmlns="http://schemas.openxmlformats.org/spreadsheetml/2006/main" count="531" uniqueCount="192">
  <si>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</si>
  <si>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</si>
  <si>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</si>
  <si>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</si>
  <si>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</si>
  <si>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</si>
  <si>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</si>
  <si>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</si>
  <si>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</si>
  <si>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</si>
  <si>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</si>
  <si>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</si>
  <si>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</si>
  <si>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</si>
  <si>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</si>
  <si>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</si>
  <si>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</si>
  <si>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</si>
  <si>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</si>
  <si>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</si>
  <si>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</si>
  <si>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</si>
  <si>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</si>
  <si>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</si>
  <si>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</si>
  <si>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</si>
  <si>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</si>
  <si>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</si>
  <si>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</si>
  <si>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</si>
  <si>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</si>
  <si>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</si>
  <si>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</si>
  <si>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</si>
  <si>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</si>
  <si>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</si>
  <si>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</si>
  <si>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</si>
  <si>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</si>
  <si>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</si>
  <si>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</si>
  <si>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</si>
  <si>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</si>
  <si>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</si>
  <si>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</si>
  <si>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</si>
  <si>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</si>
  <si>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</si>
  <si>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</si>
  <si>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</si>
  <si>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</si>
  <si>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</si>
  <si>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</si>
  <si>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</si>
  <si>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</si>
  <si>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</si>
  <si>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</si>
  <si>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</si>
  <si>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</si>
  <si>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</si>
  <si>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</si>
  <si>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</si>
  <si>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</si>
  <si>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</si>
  <si>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</si>
  <si>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</si>
  <si>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</si>
  <si>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</si>
  <si>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</si>
  <si>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</si>
  <si>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</si>
  <si>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</si>
  <si>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</si>
  <si>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</si>
  <si>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</si>
  <si>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</si>
  <si>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</si>
  <si>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</si>
  <si>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</si>
  <si>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</si>
  <si>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</si>
  <si>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</si>
  <si>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</si>
  <si>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</si>
  <si>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</si>
  <si>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</si>
  <si>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</si>
  <si>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</si>
  <si>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</si>
  <si>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</si>
  <si>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</si>
  <si>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</si>
  <si>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</si>
  <si>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</si>
  <si>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</si>
  <si>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</si>
  <si>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</si>
  <si>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</si>
  <si>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</si>
  <si>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</si>
  <si>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</si>
  <si>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</si>
  <si>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</si>
  <si>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</si>
  <si>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</si>
  <si>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</si>
  <si>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</si>
  <si>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</si>
  <si>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</si>
  <si>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</si>
  <si>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</si>
  <si>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</si>
  <si>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</si>
  <si>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</si>
  <si>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</si>
  <si>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</si>
  <si>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</si>
  <si>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</si>
  <si>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</si>
  <si>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</si>
  <si>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</si>
  <si>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</si>
  <si>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</si>
  <si>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</si>
  <si>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</si>
  <si>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</si>
  <si>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</si>
  <si>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</si>
  <si>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</si>
  <si>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</si>
  <si>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</si>
  <si>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</si>
  <si>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</si>
  <si>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</si>
  <si>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</si>
  <si>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</si>
  <si>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</si>
  <si>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</si>
  <si>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</si>
  <si>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</si>
  <si>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</si>
  <si>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</si>
  <si>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</si>
  <si>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</si>
  <si>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</si>
  <si>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</si>
  <si>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</si>
  <si>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</si>
  <si>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</si>
  <si>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</si>
  <si>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</si>
  <si>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</si>
  <si>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</si>
  <si>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</si>
  <si>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</si>
  <si>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</si>
  <si>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</si>
  <si>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</si>
  <si>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</si>
  <si>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</si>
  <si>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</si>
  <si>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</si>
  <si>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</si>
  <si>
    <t>10.3</t>
    <phoneticPr fontId="18" type="noConversion"/>
  </si>
  <si>
    <t>10.4</t>
    <phoneticPr fontId="18" type="noConversion"/>
  </si>
  <si>
    <t>10.7</t>
    <phoneticPr fontId="18" type="noConversion"/>
  </si>
  <si>
    <t>10.8</t>
    <phoneticPr fontId="18" type="noConversion"/>
  </si>
  <si>
    <t>2020年10月信用卡账单</t>
    <phoneticPr fontId="1" type="noConversion"/>
  </si>
  <si>
    <t>姓名银行</t>
    <phoneticPr fontId="1" type="noConversion"/>
  </si>
  <si>
    <t>人民币账单</t>
    <phoneticPr fontId="1" type="noConversion"/>
  </si>
  <si>
    <t>还款日期备注</t>
    <phoneticPr fontId="1" type="noConversion"/>
  </si>
  <si>
    <t>1代表已还</t>
    <phoneticPr fontId="1" type="noConversion"/>
  </si>
  <si>
    <t>盛广发 1017</t>
    <phoneticPr fontId="1" type="noConversion"/>
  </si>
  <si>
    <t>1</t>
    <phoneticPr fontId="18" type="noConversion"/>
  </si>
  <si>
    <t>盛华夏 0477</t>
    <phoneticPr fontId="1" type="noConversion"/>
  </si>
  <si>
    <t>盛交行9310</t>
    <phoneticPr fontId="1" type="noConversion"/>
  </si>
  <si>
    <t>盛交行9927</t>
    <phoneticPr fontId="1" type="noConversion"/>
  </si>
  <si>
    <t>盛工行2090</t>
    <phoneticPr fontId="1" type="noConversion"/>
  </si>
  <si>
    <t>盛浦发6108</t>
    <phoneticPr fontId="1" type="noConversion"/>
  </si>
  <si>
    <t>盛平安6457</t>
    <phoneticPr fontId="1" type="noConversion"/>
  </si>
  <si>
    <t>韩平安</t>
    <phoneticPr fontId="1" type="noConversion"/>
  </si>
  <si>
    <t>盛招行2358</t>
    <phoneticPr fontId="1" type="noConversion"/>
  </si>
  <si>
    <t>韩上海 0843</t>
    <phoneticPr fontId="1" type="noConversion"/>
  </si>
  <si>
    <t>盛中行9821</t>
    <phoneticPr fontId="1" type="noConversion"/>
  </si>
  <si>
    <t>盛建行2828</t>
    <phoneticPr fontId="1" type="noConversion"/>
  </si>
  <si>
    <t>盛花呗</t>
    <phoneticPr fontId="1" type="noConversion"/>
  </si>
  <si>
    <t>还需还款金额</t>
    <phoneticPr fontId="18" type="noConversion"/>
  </si>
  <si>
    <t>总还款额</t>
    <phoneticPr fontId="18" type="noConversion"/>
  </si>
  <si>
    <t>本账单每月更新2次</t>
    <phoneticPr fontId="1" type="noConversion"/>
  </si>
  <si>
    <t>月底最后1天更新次月1—10日账单</t>
    <phoneticPr fontId="1" type="noConversion"/>
  </si>
  <si>
    <t>9日更新10—20日账单</t>
    <phoneticPr fontId="1" type="noConversion"/>
  </si>
  <si>
    <t>最后还款日是红色的代表历史上还款日变动过，不是固定日期。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</si>
</sst>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7" formatCode="#,##0.00_ "/>
    <numFmt numFmtId="178" formatCode="0.00_ "/>
  </numFmts>
  <fonts count="39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  <font>
      <b/>
      <sz val="24"/>
      <color rgb="FF000000"/>
      <name val="Microsoft YaHei Light"/>
      <family val="2"/>
      <charset val="134"/>
    </font>
    <font>
      <sz val="24"/>
      <color rgb="FF000000"/>
      <name val="微软雅黑"/>
      <family val="2"/>
      <charset val="134"/>
    </font>
    <font>
      <sz val="12"/>
      <color rgb="FF000000"/>
      <name val="宋体"/>
      <family val="3"/>
      <charset val="134"/>
    </font>
    <font>
      <b/>
      <sz val="9"/>
      <color rgb="FF000000"/>
      <name val="微软雅黑 Light"/>
      <family val="2"/>
      <charset val="134"/>
    </font>
    <font>
      <sz val="9"/>
      <color rgb="FF000000"/>
      <name val="宋体"/>
      <family val="3"/>
      <charset val="134"/>
    </font>
    <font>
      <sz val="9"/>
      <color rgb="FF000000"/>
      <name val="微软雅黑 Light"/>
      <family val="2"/>
      <charset val="134"/>
    </font>
    <font>
      <sz val="9"/>
      <color rgb="FF000000"/>
      <name val="Microsoft YaHei"/>
      <family val="2"/>
      <charset val="134"/>
    </font>
    <font>
      <sz val="9"/>
      <color rgb="FFFF0000"/>
      <name val="微软雅黑 Light"/>
      <family val="2"/>
      <charset val="134"/>
    </font>
    <font>
      <sz val="9"/>
      <color rgb="FF000000"/>
      <name val="微软雅黑"/>
      <family val="2"/>
      <charset val="134"/>
    </font>
    <font>
      <b/>
      <sz val="9"/>
      <color rgb="FFFF0000"/>
      <name val="微软雅黑 Light"/>
      <family val="2"/>
      <charset val="134"/>
    </font>
    <font>
      <b/>
      <sz val="9"/>
      <color rgb="FFFF0000"/>
      <name val="Microsoft YaHei"/>
      <family val="2"/>
      <charset val="134"/>
    </font>
    <font>
      <b/>
      <sz val="9"/>
      <color rgb="FFFF0000"/>
      <name val="宋体"/>
      <family val="3"/>
      <charset val="134"/>
    </font>
    <font>
      <b/>
      <sz val="12"/>
      <color rgb="FFFF0000"/>
      <name val="宋体"/>
      <family val="3"/>
      <charset val="134"/>
    </font>
    <font>
      <b/>
      <sz val="14"/>
      <color rgb="FFEF4E2F"/>
      <name val="宋体"/>
      <family val="3"/>
      <charset val="134"/>
    </font>
    <font>
      <b/>
      <sz val="18"/>
      <color rgb="FFEF4E2F"/>
      <name val="宋体"/>
      <family val="3"/>
      <charset val="134"/>
    </font>
    <font>
      <b/>
      <sz val="14"/>
      <color rgb="FFEF4E2F"/>
      <name val="SimSun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77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  <xf numFmtId="49" fontId="24" fillId="0" borderId="0" xfId="0" applyNumberFormat="1" applyFont="1">
      <alignment vertical="center"/>
    </xf>
    <xf numFmtId="0" fontId="25" fillId="0" borderId="0" xfId="0" applyFont="1" applyAlignment="1">
      <alignment horizontal="left" vertical="center"/>
    </xf>
    <xf numFmtId="0" fontId="26" fillId="2" borderId="13" xfId="0" applyFont="1" applyFill="1" applyBorder="1" applyAlignment="1">
      <alignment horizontal="center" vertical="center"/>
    </xf>
    <xf numFmtId="14" fontId="26" fillId="2" borderId="13" xfId="0" applyNumberFormat="1" applyFont="1" applyFill="1" applyBorder="1" applyAlignment="1">
      <alignment horizontal="center" vertical="center"/>
    </xf>
    <xf numFmtId="178" fontId="26" fillId="2" borderId="13" xfId="0" applyNumberFormat="1" applyFont="1" applyFill="1" applyBorder="1" applyAlignment="1">
      <alignment horizontal="center" vertical="center"/>
    </xf>
    <xf numFmtId="49" fontId="26" fillId="2" borderId="13" xfId="0" applyNumberFormat="1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0" fontId="28" fillId="3" borderId="13" xfId="0" applyFont="1" applyFill="1" applyBorder="1" applyAlignment="1">
      <alignment horizontal="center" vertical="center"/>
    </xf>
    <xf numFmtId="14" fontId="28" fillId="3" borderId="13" xfId="0" applyNumberFormat="1" applyFont="1" applyFill="1" applyBorder="1" applyAlignment="1">
      <alignment horizontal="center" vertical="center"/>
    </xf>
    <xf numFmtId="176" fontId="29" fillId="3" borderId="13" xfId="0" applyNumberFormat="1" applyFont="1" applyFill="1" applyBorder="1" applyAlignment="1">
      <alignment horizontal="right" vertical="center"/>
    </xf>
    <xf numFmtId="49" fontId="26" fillId="3" borderId="13" xfId="0" applyNumberFormat="1" applyFont="1" applyFill="1" applyBorder="1" applyAlignment="1">
      <alignment horizontal="left" vertical="center"/>
    </xf>
    <xf numFmtId="14" fontId="30" fillId="3" borderId="13" xfId="0" applyNumberFormat="1" applyFont="1" applyFill="1" applyBorder="1" applyAlignment="1">
      <alignment horizontal="center" vertical="center"/>
    </xf>
    <xf numFmtId="178" fontId="29" fillId="3" borderId="13" xfId="0" applyNumberFormat="1" applyFont="1" applyFill="1" applyBorder="1">
      <alignment vertical="center"/>
    </xf>
    <xf numFmtId="0" fontId="29" fillId="3" borderId="13" xfId="0" applyFont="1" applyFill="1" applyBorder="1">
      <alignment vertical="center"/>
    </xf>
    <xf numFmtId="49" fontId="31" fillId="3" borderId="13" xfId="0" applyNumberFormat="1" applyFont="1" applyFill="1" applyBorder="1">
      <alignment vertical="center"/>
    </xf>
    <xf numFmtId="0" fontId="31" fillId="0" borderId="0" xfId="0" applyFont="1">
      <alignment vertical="center"/>
    </xf>
    <xf numFmtId="0" fontId="32" fillId="3" borderId="13" xfId="0" applyFont="1" applyFill="1" applyBorder="1" applyAlignment="1">
      <alignment horizontal="center" vertical="center"/>
    </xf>
    <xf numFmtId="14" fontId="32" fillId="3" borderId="13" xfId="0" applyNumberFormat="1" applyFont="1" applyFill="1" applyBorder="1" applyAlignment="1">
      <alignment horizontal="center" vertical="center"/>
    </xf>
    <xf numFmtId="176" fontId="33" fillId="3" borderId="13" xfId="0" applyNumberFormat="1" applyFont="1" applyFill="1" applyBorder="1" applyAlignment="1">
      <alignment horizontal="right" vertical="center"/>
    </xf>
    <xf numFmtId="49" fontId="32" fillId="3" borderId="13" xfId="0" applyNumberFormat="1" applyFont="1" applyFill="1" applyBorder="1" applyAlignment="1">
      <alignment horizontal="left" vertical="center"/>
    </xf>
    <xf numFmtId="0" fontId="34" fillId="0" borderId="0" xfId="0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0" fontId="32" fillId="3" borderId="0" xfId="0" applyFont="1" applyFill="1" applyAlignment="1">
      <alignment horizontal="center" vertical="center"/>
    </xf>
    <xf numFmtId="14" fontId="32" fillId="3" borderId="0" xfId="0" applyNumberFormat="1" applyFont="1" applyFill="1" applyAlignment="1">
      <alignment horizontal="center" vertical="center"/>
    </xf>
    <xf numFmtId="176" fontId="33" fillId="3" borderId="0" xfId="0" applyNumberFormat="1" applyFont="1" applyFill="1" applyAlignment="1">
      <alignment horizontal="right" vertical="center"/>
    </xf>
    <xf numFmtId="49" fontId="32" fillId="3" borderId="0" xfId="0" applyNumberFormat="1" applyFont="1" applyFill="1" applyAlignment="1">
      <alignment horizontal="left" vertical="center"/>
    </xf>
    <xf numFmtId="0" fontId="36" fillId="0" borderId="15" xfId="0" applyFont="1" applyBorder="1" applyAlignment="1">
      <alignment horizontal="left" vertical="center"/>
    </xf>
    <xf numFmtId="0" fontId="36" fillId="0" borderId="16" xfId="0" applyFont="1" applyBorder="1" applyAlignment="1">
      <alignment horizontal="left" vertical="center"/>
    </xf>
    <xf numFmtId="49" fontId="36" fillId="0" borderId="17" xfId="0" applyNumberFormat="1" applyFont="1" applyBorder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38" fillId="0" borderId="18" xfId="0" applyFont="1" applyBorder="1">
      <alignment vertical="center"/>
    </xf>
    <xf numFmtId="0" fontId="38" fillId="0" borderId="0" xfId="0" applyFont="1">
      <alignment vertical="center"/>
    </xf>
    <xf numFmtId="49" fontId="38" fillId="0" borderId="0" xfId="0" applyNumberFormat="1" applyFont="1">
      <alignment vertical="center"/>
    </xf>
    <xf numFmtId="49" fontId="38" fillId="0" borderId="19" xfId="0" applyNumberFormat="1" applyFont="1" applyBorder="1" applyAlignment="1">
      <alignment horizontal="left" vertical="center"/>
    </xf>
    <xf numFmtId="0" fontId="36" fillId="0" borderId="20" xfId="0" applyFont="1" applyBorder="1" applyAlignment="1">
      <alignment horizontal="left" vertical="center"/>
    </xf>
    <xf numFmtId="0" fontId="36" fillId="0" borderId="21" xfId="0" applyFont="1" applyBorder="1" applyAlignment="1">
      <alignment horizontal="left" vertical="center"/>
    </xf>
    <xf numFmtId="49" fontId="36" fillId="0" borderId="22" xfId="0" applyNumberFormat="1" applyFont="1" applyBorder="1" applyAlignment="1">
      <alignment horizontal="left" vertical="center"/>
    </xf>
    <xf numFmtId="30" fontId="25" fillId="0" borderId="0" xfId="0" applyNumberFormat="1" applyFont="1" applyAlignment="1">
      <alignment horizontal="center" vertical="center"/>
    </xf>
    <xf numFmtId="176" fontId="25" fillId="0" borderId="0" xfId="0" applyNumberFormat="1" applyFont="1" applyAlignment="1">
      <alignment horizontal="right" vertical="center"/>
    </xf>
    <xf numFmtId="49" fontId="25" fillId="0" borderId="0" xfId="0" applyNumberFormat="1" applyFont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P15" sqref="P15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11" style="9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26" t="s">
        <v>160</v>
      </c>
      <c r="B1" s="127"/>
      <c r="C1" s="127"/>
      <c r="D1" s="127"/>
      <c r="E1" s="127"/>
      <c r="F1" s="117"/>
      <c r="G1" s="89"/>
      <c r="H1" s="89"/>
      <c r="I1" s="89"/>
      <c r="J1" s="175" t="s">
        <v>167</v>
      </c>
      <c r="K1" s="176"/>
      <c r="L1" s="176"/>
      <c r="M1" s="176"/>
      <c r="N1" s="134"/>
      <c r="O1" s="135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136" t="s">
        <v>168</v>
      </c>
      <c r="K2" s="137" t="s">
        <v>83</v>
      </c>
      <c r="L2" s="138" t="s">
        <v>169</v>
      </c>
      <c r="M2" s="139" t="s">
        <v>170</v>
      </c>
      <c r="N2" s="139" t="s">
        <v>171</v>
      </c>
      <c r="O2" s="140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141" t="s">
        <v>172</v>
      </c>
      <c r="K3" s="142">
        <v>44105</v>
      </c>
      <c r="L3" s="143">
        <v>12353.51</v>
      </c>
      <c r="M3" s="144"/>
      <c r="N3" s="144" t="s">
        <v>173</v>
      </c>
      <c r="O3" s="140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141" t="s">
        <v>174</v>
      </c>
      <c r="K4" s="145">
        <v>44107</v>
      </c>
      <c r="L4" s="143">
        <v>1003.4</v>
      </c>
      <c r="M4" s="144"/>
      <c r="N4" s="144" t="s">
        <v>173</v>
      </c>
      <c r="O4" s="140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44107</v>
      </c>
      <c r="B5" s="101" t="s">
        <v>124</v>
      </c>
      <c r="C5" s="102">
        <v>5717.8</v>
      </c>
      <c r="D5" s="122" t="s">
        <v>163</v>
      </c>
      <c r="E5" s="101"/>
      <c r="F5" s="101">
        <v>1</v>
      </c>
      <c r="G5" s="89"/>
      <c r="H5" s="89"/>
      <c r="I5" s="89"/>
      <c r="J5" s="141" t="s">
        <v>175</v>
      </c>
      <c r="K5" s="142">
        <v>44108</v>
      </c>
      <c r="L5" s="146">
        <v>2124.02</v>
      </c>
      <c r="M5" s="144"/>
      <c r="N5" s="144" t="s">
        <v>173</v>
      </c>
      <c r="O5" s="140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  <c r="J6" s="141" t="s">
        <v>176</v>
      </c>
      <c r="K6" s="142">
        <v>44108</v>
      </c>
      <c r="L6" s="146"/>
      <c r="M6" s="144"/>
      <c r="N6" s="144" t="s">
        <v>173</v>
      </c>
      <c r="O6" s="140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44109</v>
      </c>
      <c r="B7" s="97" t="s">
        <v>150</v>
      </c>
      <c r="C7" s="106">
        <v>816.12</v>
      </c>
      <c r="D7" s="123" t="s">
        <v>164</v>
      </c>
      <c r="E7" s="97"/>
      <c r="F7" s="97">
        <v>1</v>
      </c>
      <c r="G7" s="89"/>
      <c r="H7" s="89"/>
      <c r="I7" s="89"/>
      <c r="J7" s="141" t="s">
        <v>177</v>
      </c>
      <c r="K7" s="142">
        <v>44109</v>
      </c>
      <c r="L7" s="143">
        <v>945.4</v>
      </c>
      <c r="M7" s="144"/>
      <c r="N7" s="144" t="s">
        <v>173</v>
      </c>
      <c r="O7" s="140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44109</v>
      </c>
      <c r="B8" s="101" t="s">
        <v>125</v>
      </c>
      <c r="C8" s="108">
        <v>220.05</v>
      </c>
      <c r="D8" s="122" t="s">
        <v>164</v>
      </c>
      <c r="E8" s="101"/>
      <c r="F8" s="101">
        <v>1</v>
      </c>
      <c r="G8" s="89"/>
      <c r="H8" s="89"/>
      <c r="I8" s="89"/>
      <c r="J8" s="141" t="s">
        <v>178</v>
      </c>
      <c r="K8" s="142">
        <v>44112</v>
      </c>
      <c r="L8" s="147">
        <v>339.35</v>
      </c>
      <c r="M8" s="148"/>
      <c r="N8" s="148" t="s">
        <v>173</v>
      </c>
      <c r="O8" s="14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44111</v>
      </c>
      <c r="B9" s="101" t="s">
        <v>126</v>
      </c>
      <c r="C9" s="108">
        <v>12312.5</v>
      </c>
      <c r="D9" s="122" t="s">
        <v>165</v>
      </c>
      <c r="E9" s="101"/>
      <c r="F9" s="101">
        <v>1</v>
      </c>
      <c r="G9" s="89"/>
      <c r="H9" s="89"/>
      <c r="I9" s="89"/>
      <c r="J9" s="141" t="s">
        <v>179</v>
      </c>
      <c r="K9" s="142">
        <v>44112</v>
      </c>
      <c r="L9" s="143">
        <v>536</v>
      </c>
      <c r="M9" s="144"/>
      <c r="N9" s="144" t="s">
        <v>173</v>
      </c>
      <c r="O9" s="140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44113</v>
      </c>
      <c r="B10" s="101" t="s">
        <v>129</v>
      </c>
      <c r="C10" s="104">
        <v>313.95</v>
      </c>
      <c r="D10" s="122" t="s">
        <v>165</v>
      </c>
      <c r="E10" s="101"/>
      <c r="F10" s="101">
        <v>1</v>
      </c>
      <c r="G10" s="89"/>
      <c r="H10" s="89"/>
      <c r="I10" s="89"/>
      <c r="J10" s="141" t="s">
        <v>180</v>
      </c>
      <c r="K10" s="142">
        <v>44112</v>
      </c>
      <c r="L10" s="143">
        <v>0</v>
      </c>
      <c r="M10" s="144"/>
      <c r="N10" s="144" t="s">
        <v>173</v>
      </c>
      <c r="O10" s="140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44113</v>
      </c>
      <c r="B11" s="97" t="s">
        <v>130</v>
      </c>
      <c r="C11" s="108">
        <v>802.99</v>
      </c>
      <c r="D11" s="124" t="s">
        <v>166</v>
      </c>
      <c r="E11" s="97"/>
      <c r="F11" s="97">
        <v>1</v>
      </c>
      <c r="G11" s="89"/>
      <c r="H11" s="89"/>
      <c r="I11" s="89"/>
      <c r="J11" s="141" t="s">
        <v>181</v>
      </c>
      <c r="K11" s="142">
        <v>44114</v>
      </c>
      <c r="L11" s="146">
        <v>49618.75</v>
      </c>
      <c r="M11" s="144"/>
      <c r="N11" s="144"/>
      <c r="O11" s="140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44113</v>
      </c>
      <c r="B12" s="101" t="s">
        <v>136</v>
      </c>
      <c r="C12" s="108"/>
      <c r="D12" s="122"/>
      <c r="E12" s="101"/>
      <c r="F12" s="101"/>
      <c r="G12" s="89"/>
      <c r="H12" s="89"/>
      <c r="I12" s="89"/>
      <c r="J12" s="141" t="s">
        <v>182</v>
      </c>
      <c r="K12" s="145">
        <v>44117</v>
      </c>
      <c r="L12" s="146">
        <v>417.6</v>
      </c>
      <c r="M12" s="144"/>
      <c r="N12" s="144"/>
      <c r="O12" s="140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141" t="s">
        <v>183</v>
      </c>
      <c r="K13" s="145">
        <v>44118</v>
      </c>
      <c r="L13" s="146">
        <v>14183.54</v>
      </c>
      <c r="M13" s="144"/>
      <c r="N13" s="144"/>
      <c r="O13" s="140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44125</v>
      </c>
      <c r="B14" s="97" t="s">
        <v>131</v>
      </c>
      <c r="C14" s="98">
        <v>1165.31</v>
      </c>
      <c r="D14" s="124"/>
      <c r="E14" s="97"/>
      <c r="F14" s="97"/>
      <c r="G14" s="89"/>
      <c r="H14" s="89"/>
      <c r="I14" s="89"/>
      <c r="J14" s="141" t="s">
        <v>184</v>
      </c>
      <c r="K14" s="142">
        <v>44120</v>
      </c>
      <c r="L14" s="146">
        <v>926.11</v>
      </c>
      <c r="M14" s="144"/>
      <c r="N14" s="144"/>
      <c r="O14" s="140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141" t="s">
        <v>185</v>
      </c>
      <c r="K15" s="142">
        <v>44124</v>
      </c>
      <c r="L15" s="143"/>
      <c r="M15" s="144"/>
      <c r="N15" s="144"/>
      <c r="O15" s="140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44126</v>
      </c>
      <c r="B16" s="97" t="s">
        <v>132</v>
      </c>
      <c r="C16" s="98">
        <v>0</v>
      </c>
      <c r="D16" s="124"/>
      <c r="E16" s="97"/>
      <c r="F16" s="97"/>
      <c r="G16" s="89"/>
      <c r="H16" s="89"/>
      <c r="I16" s="89"/>
      <c r="J16" s="150"/>
      <c r="K16" s="151" t="s">
        <v>186</v>
      </c>
      <c r="L16" s="152">
        <f>SUMIF(N3:N15,"",L3:L15)</f>
        <v>65146</v>
      </c>
      <c r="M16" s="153"/>
      <c r="N16" s="153"/>
      <c r="O16" s="154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150"/>
      <c r="K17" s="151" t="s">
        <v>187</v>
      </c>
      <c r="L17" s="152">
        <f>SUM(L3:L15)</f>
        <v>82447.680000000008</v>
      </c>
      <c r="M17" s="153"/>
      <c r="N17" s="153"/>
      <c r="O17" s="155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 thickBot="1">
      <c r="A18" s="96">
        <v>44127</v>
      </c>
      <c r="B18" s="97" t="s">
        <v>133</v>
      </c>
      <c r="C18" s="98">
        <v>880.76</v>
      </c>
      <c r="D18" s="124"/>
      <c r="E18" s="97"/>
      <c r="F18" s="97"/>
      <c r="G18" s="89"/>
      <c r="H18" s="89"/>
      <c r="I18" s="89"/>
      <c r="J18" s="156"/>
      <c r="K18" s="157"/>
      <c r="L18" s="158"/>
      <c r="M18" s="159"/>
      <c r="N18" s="159"/>
      <c r="O18" s="155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 thickTop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160" t="s">
        <v>188</v>
      </c>
      <c r="K19" s="161"/>
      <c r="L19" s="161"/>
      <c r="M19" s="161"/>
      <c r="N19" s="162"/>
      <c r="O19" s="163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164" t="s">
        <v>189</v>
      </c>
      <c r="K20" s="165"/>
      <c r="L20" s="165"/>
      <c r="M20" s="166"/>
      <c r="N20" s="167"/>
      <c r="O20" s="163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 thickBo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168" t="s">
        <v>190</v>
      </c>
      <c r="K21" s="169"/>
      <c r="L21" s="169"/>
      <c r="M21" s="169"/>
      <c r="N21" s="170"/>
      <c r="O21" s="163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 thickTop="1">
      <c r="A22" s="96"/>
      <c r="B22" s="97" t="s">
        <v>146</v>
      </c>
      <c r="C22" s="98">
        <f>SUM(C3:C21)</f>
        <v>28591.390000000003</v>
      </c>
      <c r="D22" s="124"/>
      <c r="E22" s="97"/>
      <c r="F22" s="97"/>
      <c r="G22" s="89"/>
      <c r="H22" s="89"/>
      <c r="I22" s="89"/>
      <c r="J22" s="135" t="s">
        <v>191</v>
      </c>
      <c r="K22" s="171"/>
      <c r="L22" s="172"/>
      <c r="M22" s="173"/>
      <c r="N22" s="173"/>
      <c r="O22" s="135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6636.23</v>
      </c>
      <c r="D23" s="124"/>
      <c r="E23" s="97"/>
      <c r="F23" s="97"/>
      <c r="G23" s="89"/>
      <c r="H23" s="89"/>
      <c r="I23" s="89"/>
      <c r="J23" s="174"/>
      <c r="K23" s="171"/>
      <c r="L23" s="172"/>
      <c r="M23" s="173"/>
      <c r="N23" s="173"/>
      <c r="O23" s="135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3">
    <mergeCell ref="A1:E1"/>
    <mergeCell ref="J19:M19"/>
    <mergeCell ref="J21:M2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23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75" defaultRowHeight="14.25"/>
  <cols>
    <col min="1" max="1" width="8.875" style="91" bestFit="1" customWidth="1"/>
    <col min="2" max="2" width="10.75" style="91" bestFit="1" customWidth="1"/>
    <col min="3" max="3" width="8" style="91" bestFit="1" customWidth="1"/>
    <col min="4" max="4" width="8.25" style="107" bestFit="1" customWidth="1"/>
    <col min="5" max="5" width="4.375" style="91" bestFit="1" customWidth="1"/>
    <col min="6" max="6" width="9.125" style="118" customWidth="1"/>
    <col min="7" max="19" width="9.125" style="116" customWidth="1"/>
    <col min="20" max="25" width="9.125" style="91" customWidth="1"/>
    <col min="26" max="16384" width="8.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149999999999999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149999999999999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149999999999999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149999999999999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149999999999999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149999999999999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149999999999999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149999999999999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149999999999999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149999999999999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149999999999999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149999999999999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149999999999999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149999999999999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149999999999999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149999999999999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149999999999999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149999999999999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149999999999999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149999999999999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149999999999999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149999999999999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2.625" bestFit="1" customWidth="1"/>
    <col min="5" max="5" width="11.375" style="88" customWidth="1"/>
    <col min="6" max="6" width="6.25" customWidth="1"/>
    <col min="7" max="26" width="9.125" customWidth="1"/>
  </cols>
  <sheetData>
    <row r="1" spans="1:26" ht="27.75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 ht="15.75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1.375" customWidth="1"/>
    <col min="6" max="6" width="6.25" customWidth="1"/>
    <col min="7" max="26" width="9.125" customWidth="1"/>
  </cols>
  <sheetData>
    <row r="1" spans="1:26" ht="27.75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 ht="15.75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 ht="15.75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 ht="15.75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 ht="15.75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 ht="15.75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 ht="15.75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 ht="15.75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 ht="15.75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 ht="15.75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 ht="15.75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4" width="11.25" customWidth="1"/>
    <col min="5" max="5" width="12" customWidth="1"/>
    <col min="6" max="6" width="13.75" customWidth="1"/>
    <col min="7" max="7" width="6.125" customWidth="1"/>
    <col min="8" max="8" width="48.25" customWidth="1"/>
    <col min="9" max="28" width="9.1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 ht="15.75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 ht="15.75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 ht="15.75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 ht="15.75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 ht="15.75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 ht="15.75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 ht="15.75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 ht="15.75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 ht="15.75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 ht="15.75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 ht="15.75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 ht="15.75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 ht="15.75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 ht="15.75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 ht="15.75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 ht="15.75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 ht="15.75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 ht="15.75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 ht="15.75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 ht="15.75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 ht="15.75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 ht="15.75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 ht="15.75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 ht="15.75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 ht="15.75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 ht="15.75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 ht="15.75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 ht="15.75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 ht="15.75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 ht="15.75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 ht="15.75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 ht="15.75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 ht="15.75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 ht="15.75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 ht="15.75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 ht="15.75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 ht="15.75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 ht="15.75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 ht="15.75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 ht="15.75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 ht="15.75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 ht="15.75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 ht="15.75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 ht="15.75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 ht="15.75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 ht="15.75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 ht="15.75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 ht="15.75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 ht="15.75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 ht="15.75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 ht="15.75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 ht="15.75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 ht="15.75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 ht="15.75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 ht="15.75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 ht="15.75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 ht="15.75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 ht="15.75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 ht="15.75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 ht="15.75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 ht="15.75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 ht="15.75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 ht="15.75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 ht="15.75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 ht="15.75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 ht="15.75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 ht="15.75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 ht="15.75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 ht="15.75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 ht="15.75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 ht="15.75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 ht="15.75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 ht="15.75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 ht="15.75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 ht="15.75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 ht="15.75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 ht="15.75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 ht="15.75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 ht="15.75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 ht="15.75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 ht="15.75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 ht="15.75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 ht="15.75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 ht="15.75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 ht="15.75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 ht="15.75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 ht="15.75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 ht="15.75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 ht="15.75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 ht="15.75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 ht="15.75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 ht="15.75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 ht="15.75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 ht="15.75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 ht="15.75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 ht="15.75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 ht="15.75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 ht="15.75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 ht="15.75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 ht="15.75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 ht="15.75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 ht="15.75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 ht="15.75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 ht="15.75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 ht="15.75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 ht="15.75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 ht="15.75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 ht="15.75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 ht="15.75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 ht="15.75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 ht="15.75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 ht="15.75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 ht="15.75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 ht="15.75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 ht="15.75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 ht="15.75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 ht="15.75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 ht="15.75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 ht="15.75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 ht="15.75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 ht="15.75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 ht="15.75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 ht="15.75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 ht="15.75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 ht="15.75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 ht="15.75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 ht="15.75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 ht="15.75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 ht="15.75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 ht="15.75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 ht="15.75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 ht="15.75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 ht="15.75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 ht="15.75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 ht="15.75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 ht="15.75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 ht="15.75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 ht="15.75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 ht="15.75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 ht="15.75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 ht="15.75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 ht="15.75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 ht="15.75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 ht="15.75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 ht="15.75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 ht="15.75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 ht="15.75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 ht="15.75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 ht="15.75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 ht="15.75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 ht="15.75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 ht="15.75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 ht="15.75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 ht="15.75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 ht="15.75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 ht="15.75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 ht="15.75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 ht="15.75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 ht="15.75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 ht="15.75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 ht="15.75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 ht="15.75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 ht="15.75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 ht="15.75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 ht="15.75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 ht="15.75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 ht="15.75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 ht="15.75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 ht="15.75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 ht="15.75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 ht="15.75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75" defaultRowHeight="14.25"/>
  <cols>
    <col min="1" max="1" width="16.375" customWidth="1"/>
    <col min="2" max="2" width="14.5" customWidth="1"/>
    <col min="3" max="3" width="12.875" customWidth="1"/>
    <col min="4" max="4" width="47.625" customWidth="1"/>
    <col min="5" max="5" width="48.25" customWidth="1"/>
    <col min="6" max="6" width="21.75" customWidth="1"/>
    <col min="7" max="23" width="12.8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 ht="16.5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 ht="16.5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 ht="16.5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 ht="16.5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 ht="16.5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 ht="16.5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 ht="16.5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 ht="16.5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 ht="16.5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 ht="16.5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 ht="16.5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 ht="16.5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 ht="16.5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 ht="16.5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 ht="16.5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 ht="16.5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 ht="16.5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 ht="16.5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 ht="16.5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 ht="16.5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 ht="16.5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 ht="16.5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 ht="16.5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 ht="16.5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 ht="16.5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 ht="16.5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 ht="16.5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 ht="16.5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 ht="16.5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 ht="16.5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 ht="16.5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 ht="16.5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 ht="16.5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 ht="16.5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 ht="16.5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 ht="16.5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 ht="16.5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 ht="16.5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 ht="16.5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 ht="16.5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 ht="16.5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 ht="16.5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 ht="16.5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 ht="16.5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 ht="16.5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 ht="16.5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 ht="16.5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 ht="16.5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 ht="16.5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 ht="16.5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 ht="16.5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 ht="16.5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 ht="16.5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 ht="16.5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 ht="16.5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 ht="16.5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 ht="16.5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 ht="16.5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 ht="16.5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 ht="16.5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 ht="16.5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 ht="16.5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 ht="16.5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 ht="16.5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 ht="16.5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 ht="16.5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 ht="16.5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 ht="16.5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 ht="16.5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 ht="16.5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 ht="16.5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 ht="16.5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 ht="16.5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 ht="16.5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 ht="16.5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 ht="16.5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 ht="16.5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 ht="16.5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 ht="16.5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 ht="16.5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 ht="16.5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 ht="16.5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 ht="16.5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 ht="16.5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 ht="16.5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 ht="16.5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 ht="16.5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 ht="16.5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 ht="16.5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 ht="16.5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 ht="16.5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 ht="16.5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 ht="16.5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 ht="16.5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 ht="16.5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 ht="16.5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 ht="16.5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 ht="16.5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 ht="16.5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 ht="16.5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 ht="16.5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 ht="16.5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 ht="16.5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 ht="16.5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 ht="16.5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 ht="16.5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 ht="16.5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 ht="16.5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 ht="16.5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 ht="16.5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 ht="16.5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 ht="16.5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 ht="16.5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 ht="16.5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 ht="16.5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 ht="16.5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 ht="16.5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 ht="16.5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 ht="16.5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 ht="16.5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 ht="16.5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 ht="16.5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 ht="16.5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 ht="16.5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 ht="16.5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 ht="16.5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 ht="16.5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 ht="16.5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 ht="16.5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 ht="16.5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 ht="16.5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 ht="16.5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 ht="16.5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 ht="16.5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 ht="16.5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 ht="16.5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 ht="16.5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 ht="16.5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 ht="16.5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 ht="16.5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 ht="16.5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 ht="16.5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 ht="16.5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 ht="16.5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 ht="16.5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 ht="16.5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 ht="16.5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 ht="16.5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 ht="16.5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 ht="16.5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 ht="16.5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 ht="16.5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 ht="16.5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 ht="16.5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 ht="16.5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 ht="16.5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 ht="16.5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 ht="16.5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 ht="16.5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 ht="16.5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 ht="16.5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 ht="16.5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 ht="16.5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 ht="16.5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 ht="16.5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 ht="16.5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 ht="16.5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 ht="16.5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 ht="16.5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 ht="16.5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 ht="16.5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 ht="16.5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 ht="16.5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 ht="16.5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 ht="16.5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 ht="16.5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 ht="16.5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 ht="16.5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 ht="16.5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 ht="16.5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75" defaultRowHeight="14.25"/>
  <cols>
    <col min="1" max="1" width="11.625" customWidth="1"/>
    <col min="2" max="2" width="9.125" customWidth="1"/>
    <col min="3" max="3" width="11.875" customWidth="1"/>
    <col min="4" max="5" width="11.625" customWidth="1"/>
    <col min="6" max="6" width="8.5" customWidth="1"/>
    <col min="7" max="7" width="17" customWidth="1"/>
    <col min="8" max="27" width="9.1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 ht="15.75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 ht="15.75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75" defaultRowHeight="14.25"/>
  <cols>
    <col min="1" max="1" width="13.75" customWidth="1"/>
    <col min="2" max="2" width="10.75" customWidth="1"/>
    <col min="3" max="3" width="14.5" customWidth="1"/>
    <col min="4" max="5" width="13.75" customWidth="1"/>
    <col min="6" max="6" width="6.125" customWidth="1"/>
    <col min="7" max="7" width="45.25" customWidth="1"/>
    <col min="8" max="27" width="9.1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 ht="15.75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 ht="15.75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 ht="15.75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 ht="15.75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 ht="15.75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 ht="15.75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 ht="15.75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 ht="15.75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 ht="15.75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 ht="15.75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 ht="15.75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 ht="15.75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 ht="15.75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 ht="15.75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 ht="15.75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 ht="15.75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 ht="15.75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 ht="15.75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 ht="15.75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 ht="15.75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 ht="15.75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 ht="15.75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 ht="15.75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 ht="15.75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 ht="15.75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 ht="15.75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 ht="15.75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 ht="15.75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 ht="15.75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 ht="15.75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 ht="15.75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 ht="15.75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 ht="15.75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 ht="15.75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 ht="15.75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 ht="15.75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 ht="15.75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 ht="15.75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 ht="15.75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 ht="15.75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 ht="15.75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 ht="15.75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 ht="15.75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 ht="15.75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 ht="15.75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 ht="15.75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 ht="15.75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 ht="15.75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 ht="15.75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 ht="15.75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 ht="15.75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 ht="15.75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 ht="15.75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 ht="15.75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 ht="15.75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 ht="15.75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 ht="15.75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 ht="15.75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 ht="15.75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 ht="15.75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 ht="15.75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 ht="15.75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 ht="15.75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 ht="15.75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 ht="15.75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 ht="15.75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 ht="15.75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 ht="15.75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 ht="15.75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 ht="15.75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 ht="15.75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 ht="15.75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 ht="15.75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 ht="15.75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 ht="15.75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 ht="15.75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 ht="15.75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 ht="15.75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 ht="15.75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 ht="15.75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 ht="15.75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 ht="15.75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 ht="15.75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 ht="15.75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 ht="15.75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 ht="15.75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 ht="15.75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 ht="15.75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 ht="15.75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 ht="15.75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 ht="15.75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 ht="15.75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 ht="15.75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 ht="15.75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 ht="15.75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 ht="15.75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 ht="15.75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 ht="15.75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 ht="15.75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 ht="15.75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 ht="15.75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 ht="15.75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 ht="15.75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 ht="15.75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 ht="15.75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 ht="15.75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 ht="15.75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 ht="15.75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 ht="15.75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 ht="15.75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 ht="15.75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 ht="15.75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 ht="15.75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 ht="15.75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 ht="15.75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 ht="15.75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 ht="15.75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 ht="15.75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 ht="15.75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 ht="15.75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 ht="15.75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 ht="15.75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 ht="15.75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 ht="15.75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 ht="15.75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 ht="15.75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 ht="15.75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 ht="15.75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 ht="15.75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 ht="15.75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 ht="15.75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 ht="15.75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 ht="15.75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 ht="15.75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 ht="15.75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 ht="15.75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 ht="15.75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 ht="15.75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 ht="15.75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 ht="15.75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 ht="15.75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 ht="15.75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 ht="15.75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 ht="15.75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 ht="15.75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 ht="15.75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 ht="15.75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 ht="15.75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 ht="15.75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 ht="15.75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 ht="15.75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 ht="15.75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 ht="15.75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 ht="15.75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 ht="15.75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 ht="15.75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 ht="15.75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 ht="15.75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 ht="15.75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 ht="15.75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 ht="15.75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 ht="15.75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 ht="15.75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 ht="15.75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 ht="15.75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 ht="15.75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 ht="15.75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 ht="15.75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 ht="15.75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 ht="15.75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 ht="15.75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2020-10-07T23:23:46Z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