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231"/>
  <workbookPr/>
  <mc:AlternateContent xmlns:mc="http://schemas.openxmlformats.org/markup-compatibility/2006">
    <mc:Choice Requires="x15">
      <x15ac:absPath xmlns:x15ac="http://schemas.microsoft.com/office/spreadsheetml/2010/11/ac" url="D:\alantop_dir\alantop_data\alantop_git\github\bill\"/>
    </mc:Choice>
  </mc:AlternateContent>
  <xr:revisionPtr revIDLastSave="0" documentId="13_ncr:1_{65694E64-BF4F-4547-AFFF-DB3A7CD2B90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202010" sheetId="10" r:id="rId1"/>
    <sheet name="202009" sheetId="9" r:id="rId2"/>
    <sheet name="202008" sheetId="8" r:id="rId3"/>
    <sheet name="202007" sheetId="1" r:id="rId4"/>
    <sheet name="202006" sheetId="2" r:id="rId5"/>
    <sheet name="202003" sheetId="3" r:id="rId6"/>
    <sheet name="202004" sheetId="4" r:id="rId7"/>
    <sheet name="生活缴费" sheetId="5" r:id="rId8"/>
    <sheet name="202001" sheetId="6" r:id="rId9"/>
    <sheet name="202002" sheetId="7" r:id="rId10"/>
  </sheets>
  <calcPr calcId="191029"/>
</workbook>
</file>

<file path=xl/calcChain.xml><?xml version="1.0" encoding="utf-8"?>
<calcChain xmlns="http://schemas.openxmlformats.org/spreadsheetml/2006/main">
  <c r="L17" i="10" l="1"/>
  <c r="L16" i="10"/>
  <c r="C22" i="10" l="1"/>
  <c r="C23" i="10"/>
  <c r="C22" i="9" l="1"/>
  <c r="C23" i="9" l="1"/>
  <c r="C23" i="8" l="1"/>
  <c r="C22" i="8" l="1"/>
  <c r="E29" i="7"/>
  <c r="D29" i="7"/>
  <c r="E29" i="6"/>
  <c r="D29" i="6"/>
  <c r="F24" i="4"/>
  <c r="D24" i="4"/>
  <c r="F28" i="3"/>
  <c r="D28" i="3"/>
  <c r="D23" i="2"/>
  <c r="D22" i="1"/>
</calcChain>
</file>

<file path=xl/sharedStrings.xml><?xml version="1.0" encoding="utf-8"?>
<sst xmlns="http://schemas.openxmlformats.org/spreadsheetml/2006/main" count="533" uniqueCount="193">
  <si>
    <r>
      <rPr>
        <b/>
        <sz val="12"/>
        <color rgb="FF000000"/>
        <rFont val="Microsoft YaHei"/>
        <family val="2"/>
        <charset val="134"/>
      </rPr>
      <t>2020年6月账单</t>
    </r>
    <phoneticPr fontId="1" type="noConversion"/>
  </si>
  <si>
    <r>
      <rPr>
        <sz val="16"/>
        <color rgb="FF000000"/>
        <rFont val="华文新魏"/>
        <family val="3"/>
        <charset val="134"/>
      </rPr>
      <t>最后还款日</t>
    </r>
    <phoneticPr fontId="1" type="noConversion"/>
  </si>
  <si>
    <t>姓名</t>
    <phoneticPr fontId="1" type="noConversion"/>
  </si>
  <si>
    <t>银行</t>
    <phoneticPr fontId="1" type="noConversion"/>
  </si>
  <si>
    <r>
      <rPr>
        <sz val="16"/>
        <color rgb="FF000000"/>
        <rFont val="华文新魏"/>
        <family val="3"/>
        <charset val="134"/>
      </rPr>
      <t>未还金额</t>
    </r>
    <phoneticPr fontId="1" type="noConversion"/>
  </si>
  <si>
    <r>
      <rPr>
        <sz val="16"/>
        <color rgb="FF000000"/>
        <rFont val="华文新魏"/>
        <family val="3"/>
        <charset val="134"/>
      </rPr>
      <t>还款日期</t>
    </r>
    <phoneticPr fontId="1" type="noConversion"/>
  </si>
  <si>
    <t>备注</t>
    <phoneticPr fontId="1" type="noConversion"/>
  </si>
  <si>
    <t>居</t>
    <phoneticPr fontId="1" type="noConversion"/>
  </si>
  <si>
    <t>广发</t>
    <phoneticPr fontId="1" type="noConversion"/>
  </si>
  <si>
    <t>中信</t>
    <phoneticPr fontId="1" type="noConversion"/>
  </si>
  <si>
    <t>张</t>
    <phoneticPr fontId="1" type="noConversion"/>
  </si>
  <si>
    <t>平安</t>
    <phoneticPr fontId="1" type="noConversion"/>
  </si>
  <si>
    <t>交行</t>
    <phoneticPr fontId="1" type="noConversion"/>
  </si>
  <si>
    <t>工行</t>
    <phoneticPr fontId="1" type="noConversion"/>
  </si>
  <si>
    <t>招行</t>
    <phoneticPr fontId="1" type="noConversion"/>
  </si>
  <si>
    <t>花呗</t>
    <phoneticPr fontId="1" type="noConversion"/>
  </si>
  <si>
    <r>
      <rPr>
        <sz val="12"/>
        <color rgb="FF000000"/>
        <rFont val="Microsoft YaHei"/>
        <family val="2"/>
        <charset val="134"/>
      </rPr>
      <t>广发2668</t>
    </r>
    <phoneticPr fontId="1" type="noConversion"/>
  </si>
  <si>
    <r>
      <rPr>
        <sz val="12"/>
        <color rgb="FF000000"/>
        <rFont val="Microsoft YaHei"/>
        <family val="2"/>
        <charset val="134"/>
      </rPr>
      <t>交通4057</t>
    </r>
    <phoneticPr fontId="1" type="noConversion"/>
  </si>
  <si>
    <r>
      <rPr>
        <sz val="12"/>
        <color rgb="FF000000"/>
        <rFont val="Microsoft YaHei"/>
        <family val="2"/>
        <charset val="134"/>
      </rPr>
      <t>居9221</t>
    </r>
    <phoneticPr fontId="1" type="noConversion"/>
  </si>
  <si>
    <t>民生</t>
    <phoneticPr fontId="1" type="noConversion"/>
  </si>
  <si>
    <t>浦发</t>
    <phoneticPr fontId="1" type="noConversion"/>
  </si>
  <si>
    <r>
      <rPr>
        <sz val="12"/>
        <color rgb="FF000000"/>
        <rFont val="Microsoft YaHei"/>
        <family val="2"/>
        <charset val="134"/>
      </rPr>
      <t>兴业</t>
    </r>
    <phoneticPr fontId="1" type="noConversion"/>
  </si>
  <si>
    <r>
      <rPr>
        <sz val="12"/>
        <color rgb="FF000000"/>
        <rFont val="Microsoft YaHei"/>
        <family val="2"/>
        <charset val="134"/>
      </rPr>
      <t>居7815</t>
    </r>
    <phoneticPr fontId="1" type="noConversion"/>
  </si>
  <si>
    <t>浙商</t>
    <phoneticPr fontId="1" type="noConversion"/>
  </si>
  <si>
    <t>京东白条</t>
    <phoneticPr fontId="1" type="noConversion"/>
  </si>
  <si>
    <r>
      <rPr>
        <sz val="12"/>
        <rFont val="Microsoft YaHei"/>
        <family val="2"/>
        <charset val="134"/>
      </rPr>
      <t>张</t>
    </r>
    <phoneticPr fontId="1" type="noConversion"/>
  </si>
  <si>
    <r>
      <rPr>
        <sz val="12"/>
        <color rgb="FF000000"/>
        <rFont val="Microsoft YaHei"/>
        <family val="2"/>
        <charset val="134"/>
      </rPr>
      <t>浦发</t>
    </r>
    <phoneticPr fontId="1" type="noConversion"/>
  </si>
  <si>
    <r>
      <rPr>
        <b/>
        <sz val="22"/>
        <color rgb="FF000000"/>
        <rFont val="Microsoft YaHei"/>
        <family val="2"/>
        <charset val="134"/>
      </rPr>
      <t>2020年3月账单</t>
    </r>
    <phoneticPr fontId="1" type="noConversion"/>
  </si>
  <si>
    <r>
      <rPr>
        <sz val="16"/>
        <color rgb="FF000000"/>
        <rFont val="华文新魏"/>
        <family val="3"/>
        <charset val="134"/>
      </rPr>
      <t>小计</t>
    </r>
    <phoneticPr fontId="1" type="noConversion"/>
  </si>
  <si>
    <r>
      <rPr>
        <sz val="16"/>
        <color rgb="FF000000"/>
        <rFont val="华文新魏"/>
        <family val="3"/>
        <charset val="134"/>
      </rPr>
      <t>已还金额</t>
    </r>
    <phoneticPr fontId="1" type="noConversion"/>
  </si>
  <si>
    <r>
      <rPr>
        <sz val="16"/>
        <color rgb="FF000000"/>
        <rFont val="华文新魏"/>
        <family val="3"/>
        <charset val="134"/>
      </rPr>
      <t>还款确认</t>
    </r>
    <phoneticPr fontId="1" type="noConversion"/>
  </si>
  <si>
    <t>浦发4519</t>
    <phoneticPr fontId="1" type="noConversion"/>
  </si>
  <si>
    <r>
      <rPr>
        <sz val="12"/>
        <color rgb="FF000000"/>
        <rFont val="Microsoft YaHei"/>
        <family val="2"/>
        <charset val="134"/>
      </rPr>
      <t>3.3 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</si>
  <si>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3.3 银行短信确认</t>
    </r>
    <phoneticPr fontId="1" type="noConversion"/>
  </si>
  <si>
    <r>
      <rPr>
        <sz val="12"/>
        <color rgb="FF000000"/>
        <rFont val="Microsoft YaHei"/>
        <family val="2"/>
        <charset val="134"/>
      </rPr>
      <t>3.3 银行app确认</t>
    </r>
    <phoneticPr fontId="1" type="noConversion"/>
  </si>
  <si>
    <r>
      <rPr>
        <sz val="12"/>
        <color rgb="FF000000"/>
        <rFont val="Microsoft YaHei"/>
        <family val="2"/>
        <charset val="134"/>
      </rPr>
      <t>云闪付app确认 3.4</t>
    </r>
    <phoneticPr fontId="1" type="noConversion"/>
  </si>
  <si>
    <t>易点租</t>
    <phoneticPr fontId="1" type="noConversion"/>
  </si>
  <si>
    <r>
      <rPr>
        <sz val="12"/>
        <color rgb="FF000000"/>
        <rFont val="Microsoft YaHei"/>
        <family val="2"/>
        <charset val="134"/>
      </rPr>
      <t>银行app确认</t>
    </r>
    <phoneticPr fontId="1" type="noConversion"/>
  </si>
  <si>
    <t>115号燃气</t>
    <phoneticPr fontId="1" type="noConversion"/>
  </si>
  <si>
    <r>
      <rPr>
        <sz val="12"/>
        <rFont val="Microsoft YaHei"/>
        <family val="2"/>
        <charset val="134"/>
      </rPr>
      <t>水费（zjpl）</t>
    </r>
    <phoneticPr fontId="1" type="noConversion"/>
  </si>
  <si>
    <r>
      <rPr>
        <sz val="12"/>
        <color rgb="FF000000"/>
        <rFont val="Microsoft YaHei"/>
        <family val="2"/>
        <charset val="134"/>
      </rPr>
      <t>2.26日 4833 翼支付付清</t>
    </r>
    <phoneticPr fontId="1" type="noConversion"/>
  </si>
  <si>
    <t>交通</t>
    <phoneticPr fontId="1" type="noConversion"/>
  </si>
  <si>
    <r>
      <rPr>
        <sz val="12"/>
        <color rgb="FF000000"/>
        <rFont val="Microsoft YaHei"/>
        <family val="2"/>
        <charset val="134"/>
      </rPr>
      <t>3.21 买单吧app确认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</si>
  <si>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3.21 平安app确认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</si>
  <si>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3.21 民生app确认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</si>
  <si>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3.22 浦发app确认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</si>
  <si>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3.23 兴业app确认</t>
    </r>
    <phoneticPr fontId="1" type="noConversion"/>
  </si>
  <si>
    <t>停车费</t>
    <phoneticPr fontId="1" type="noConversion"/>
  </si>
  <si>
    <r>
      <rPr>
        <b/>
        <sz val="22"/>
        <color rgb="FF000000"/>
        <rFont val="Microsoft YaHei"/>
        <family val="2"/>
        <charset val="134"/>
      </rPr>
      <t>生活缴费</t>
    </r>
    <phoneticPr fontId="1" type="noConversion"/>
  </si>
  <si>
    <r>
      <rPr>
        <sz val="16"/>
        <color rgb="FF000000"/>
        <rFont val="华文新魏"/>
        <family val="3"/>
        <charset val="134"/>
      </rPr>
      <t>最后缴费日期</t>
    </r>
    <phoneticPr fontId="1" type="noConversion"/>
  </si>
  <si>
    <t>项目名称</t>
    <phoneticPr fontId="1" type="noConversion"/>
  </si>
  <si>
    <t>缴费金额</t>
    <phoneticPr fontId="1" type="noConversion"/>
  </si>
  <si>
    <t>缴费账号</t>
    <phoneticPr fontId="1" type="noConversion"/>
  </si>
  <si>
    <r>
      <rPr>
        <sz val="16"/>
        <color rgb="FF000000"/>
        <rFont val="华文新魏"/>
        <family val="3"/>
        <charset val="134"/>
      </rPr>
      <t>备注（付清时间，缴费方式，优惠金额）</t>
    </r>
    <phoneticPr fontId="1" type="noConversion"/>
  </si>
  <si>
    <t>计算周期</t>
    <phoneticPr fontId="1" type="noConversion"/>
  </si>
  <si>
    <r>
      <rPr>
        <sz val="12"/>
        <color rgb="FF000000"/>
        <rFont val="Microsoft YaHei"/>
        <family val="2"/>
        <charset val="134"/>
      </rPr>
      <t>2.26 翼支付4833</t>
    </r>
    <phoneticPr fontId="1" type="noConversion"/>
  </si>
  <si>
    <r>
      <rPr>
        <sz val="12"/>
        <rFont val="Microsoft YaHei"/>
        <family val="2"/>
        <charset val="134"/>
      </rPr>
      <t>电费tgbc</t>
    </r>
    <phoneticPr fontId="1" type="noConversion"/>
  </si>
  <si>
    <r>
      <rPr>
        <sz val="12"/>
        <color rgb="FF000000"/>
        <rFont val="华文新魏"/>
        <family val="3"/>
        <charset val="134"/>
      </rPr>
      <t>户号：0210816795</t>
    </r>
    <phoneticPr fontId="1" type="noConversion"/>
  </si>
  <si>
    <r>
      <rPr>
        <sz val="12"/>
        <color rgb="FF000000"/>
        <rFont val="Microsoft YaHei"/>
        <family val="2"/>
        <charset val="134"/>
      </rPr>
      <t>3.20 张支付宝 花呗 立减0.59</t>
    </r>
    <phoneticPr fontId="1" type="noConversion"/>
  </si>
  <si>
    <r>
      <rPr>
        <sz val="12"/>
        <color rgb="FF000000"/>
        <rFont val="Microsoft YaHei"/>
        <family val="2"/>
        <charset val="134"/>
      </rPr>
      <t>电费zjpl</t>
    </r>
    <phoneticPr fontId="1" type="noConversion"/>
  </si>
  <si>
    <t>114027249</t>
    <phoneticPr fontId="1" type="noConversion"/>
  </si>
  <si>
    <r>
      <rPr>
        <sz val="12"/>
        <color rgb="FF000000"/>
        <rFont val="Microsoft YaHei"/>
        <family val="2"/>
        <charset val="134"/>
      </rPr>
      <t>3.20 翼支付 4833支付 优惠1元</t>
    </r>
    <phoneticPr fontId="1" type="noConversion"/>
  </si>
  <si>
    <r>
      <rPr>
        <sz val="12"/>
        <rFont val="Microsoft YaHei"/>
        <family val="2"/>
        <charset val="134"/>
      </rPr>
      <t>水费（tgbc）</t>
    </r>
    <phoneticPr fontId="1" type="noConversion"/>
  </si>
  <si>
    <r>
      <rPr>
        <sz val="12"/>
        <color rgb="FF000000"/>
        <rFont val="Microsoft YaHei"/>
        <family val="2"/>
        <charset val="134"/>
      </rPr>
      <t>2.29 翼支付 5456</t>
    </r>
    <phoneticPr fontId="1" type="noConversion"/>
  </si>
  <si>
    <r>
      <rPr>
        <sz val="12"/>
        <color rgb="FF000000"/>
        <rFont val="Microsoft YaHei"/>
        <family val="2"/>
        <charset val="134"/>
      </rPr>
      <t>固话hcl</t>
    </r>
    <phoneticPr fontId="1" type="noConversion"/>
  </si>
  <si>
    <t>94505213882</t>
    <phoneticPr fontId="1" type="noConversion"/>
  </si>
  <si>
    <r>
      <rPr>
        <sz val="12"/>
        <color rgb="FF000000"/>
        <rFont val="Microsoft YaHei"/>
        <family val="2"/>
        <charset val="134"/>
      </rPr>
      <t>3.20 张支付宝 0.5红包 0.27花呗立减</t>
    </r>
    <phoneticPr fontId="1" type="noConversion"/>
  </si>
  <si>
    <r>
      <rPr>
        <sz val="12"/>
        <color rgb="FF000000"/>
        <rFont val="Microsoft YaHei"/>
        <family val="2"/>
        <charset val="134"/>
      </rPr>
      <t>手机hcl</t>
    </r>
    <phoneticPr fontId="1" type="noConversion"/>
  </si>
  <si>
    <t>18101817640</t>
    <phoneticPr fontId="1" type="noConversion"/>
  </si>
  <si>
    <r>
      <rPr>
        <sz val="12"/>
        <color rgb="FF000000"/>
        <rFont val="Microsoft YaHei"/>
        <family val="2"/>
        <charset val="134"/>
      </rPr>
      <t>3.17 居翼支付5456 张支付宝支付剩余的 电信官方网站</t>
    </r>
    <phoneticPr fontId="1" type="noConversion"/>
  </si>
  <si>
    <r>
      <rPr>
        <sz val="12"/>
        <color rgb="FF000000"/>
        <rFont val="华文新魏"/>
        <family val="3"/>
        <charset val="134"/>
      </rPr>
      <t>0534792100</t>
    </r>
    <phoneticPr fontId="1" type="noConversion"/>
  </si>
  <si>
    <r>
      <rPr>
        <sz val="12"/>
        <color rgb="FF000000"/>
        <rFont val="Microsoft YaHei"/>
        <family val="2"/>
        <charset val="134"/>
      </rPr>
      <t>3.20 张翼支付4833 使用返利红包5元</t>
    </r>
    <phoneticPr fontId="1" type="noConversion"/>
  </si>
  <si>
    <r>
      <rPr>
        <sz val="12"/>
        <color rgb="FF000000"/>
        <rFont val="Microsoft YaHei"/>
        <family val="2"/>
        <charset val="134"/>
      </rPr>
      <t>燃气费（tgbc）</t>
    </r>
    <phoneticPr fontId="1" type="noConversion"/>
  </si>
  <si>
    <r>
      <rPr>
        <sz val="12"/>
        <color rgb="FF000000"/>
        <rFont val="华文新魏"/>
        <family val="3"/>
        <charset val="134"/>
      </rPr>
      <t>客户编号23024010</t>
    </r>
    <phoneticPr fontId="1" type="noConversion"/>
  </si>
  <si>
    <r>
      <rPr>
        <sz val="12"/>
        <color rgb="FF000000"/>
        <rFont val="Microsoft YaHei"/>
        <family val="2"/>
        <charset val="134"/>
      </rPr>
      <t>电费（tgbc）</t>
    </r>
    <phoneticPr fontId="1" type="noConversion"/>
  </si>
  <si>
    <r>
      <rPr>
        <sz val="12"/>
        <color rgb="FF000000"/>
        <rFont val="华文新魏"/>
        <family val="3"/>
        <charset val="134"/>
      </rPr>
      <t>户号0210816795</t>
    </r>
    <phoneticPr fontId="1" type="noConversion"/>
  </si>
  <si>
    <r>
      <rPr>
        <sz val="12"/>
        <rFont val="Microsoft YaHei"/>
        <family val="2"/>
        <charset val="134"/>
      </rPr>
      <t>东方有线上半年</t>
    </r>
    <phoneticPr fontId="1" type="noConversion"/>
  </si>
  <si>
    <t>17301957044</t>
    <phoneticPr fontId="1" type="noConversion"/>
  </si>
  <si>
    <r>
      <rPr>
        <sz val="12"/>
        <color rgb="FF000000"/>
        <rFont val="Microsoft YaHei"/>
        <family val="2"/>
        <charset val="134"/>
      </rPr>
      <t>东方有线下半年</t>
    </r>
    <phoneticPr fontId="1" type="noConversion"/>
  </si>
  <si>
    <r>
      <rPr>
        <sz val="12"/>
        <color rgb="FF000000"/>
        <rFont val="Microsoft YaHei"/>
        <family val="2"/>
        <charset val="134"/>
      </rPr>
      <t>电话手机费</t>
    </r>
    <phoneticPr fontId="1" type="noConversion"/>
  </si>
  <si>
    <r>
      <rPr>
        <sz val="12"/>
        <color rgb="FF000000"/>
        <rFont val="Microsoft YaHei"/>
        <family val="2"/>
        <charset val="134"/>
      </rPr>
      <t>分账序列号：75511642020 38686225 18964112787</t>
    </r>
    <phoneticPr fontId="1" type="noConversion"/>
  </si>
  <si>
    <r>
      <rPr>
        <sz val="12"/>
        <color rgb="FF000000"/>
        <rFont val="Microsoft YaHei"/>
        <family val="2"/>
        <charset val="134"/>
      </rPr>
      <t>有余额,无需支付</t>
    </r>
    <phoneticPr fontId="1" type="noConversion"/>
  </si>
  <si>
    <r>
      <rPr>
        <sz val="12"/>
        <color rgb="FF000000"/>
        <rFont val="Microsoft YaHei"/>
        <family val="2"/>
        <charset val="134"/>
      </rPr>
      <t>2020.02.01-2020.02.29</t>
    </r>
    <phoneticPr fontId="1" type="noConversion"/>
  </si>
  <si>
    <t>最后还款日</t>
    <phoneticPr fontId="1" type="noConversion"/>
  </si>
  <si>
    <t>未还款金额</t>
    <phoneticPr fontId="1" type="noConversion"/>
  </si>
  <si>
    <t>已还款金额</t>
    <phoneticPr fontId="1" type="noConversion"/>
  </si>
  <si>
    <t>缴费完成日期</t>
    <phoneticPr fontId="1" type="noConversion"/>
  </si>
  <si>
    <t>2020.1.19 支付完毕</t>
    <phoneticPr fontId="1" type="noConversion"/>
  </si>
  <si>
    <t>兴业</t>
    <phoneticPr fontId="1" type="noConversion"/>
  </si>
  <si>
    <t>1.25 app确认已还款</t>
    <phoneticPr fontId="1" type="noConversion"/>
  </si>
  <si>
    <t>周家牌路水费</t>
    <phoneticPr fontId="1" type="noConversion"/>
  </si>
  <si>
    <t>1.15掌上生活张付清</t>
    <phoneticPr fontId="1" type="noConversion"/>
  </si>
  <si>
    <t>1.29无账单</t>
    <phoneticPr fontId="1" type="noConversion"/>
  </si>
  <si>
    <t>张扬北路电费</t>
    <phoneticPr fontId="1" type="noConversion"/>
  </si>
  <si>
    <t>1.25号 张买单吧付清</t>
    <phoneticPr fontId="1" type="noConversion"/>
  </si>
  <si>
    <t>公司手机费</t>
    <phoneticPr fontId="1" type="noConversion"/>
  </si>
  <si>
    <t>18101817640手机费</t>
    <phoneticPr fontId="1" type="noConversion"/>
  </si>
  <si>
    <t>周家派路电费</t>
    <phoneticPr fontId="1" type="noConversion"/>
  </si>
  <si>
    <r>
      <rPr>
        <b/>
        <sz val="22"/>
        <rFont val="Microsoft YaHei"/>
        <family val="2"/>
        <charset val="134"/>
      </rPr>
      <t>2020年2月账单</t>
    </r>
    <phoneticPr fontId="1" type="noConversion"/>
  </si>
  <si>
    <t>4432. 71</t>
    <phoneticPr fontId="1" type="noConversion"/>
  </si>
  <si>
    <t>2.1 云闪付付清 银行app确认。</t>
    <phoneticPr fontId="1" type="noConversion"/>
  </si>
  <si>
    <t>2.1通过居云闪付完成，银行app确认</t>
    <phoneticPr fontId="1" type="noConversion"/>
  </si>
  <si>
    <t>2.3 银行app确认已还</t>
    <phoneticPr fontId="1" type="noConversion"/>
  </si>
  <si>
    <t>2.4日收到银行短信确认 已还</t>
    <phoneticPr fontId="1" type="noConversion"/>
  </si>
  <si>
    <t>2.4 银行app直接还款 确认</t>
    <phoneticPr fontId="1" type="noConversion"/>
  </si>
  <si>
    <t>2.4 张支付宝兴业银行支付</t>
    <phoneticPr fontId="1" type="noConversion"/>
  </si>
  <si>
    <t>2.7 银行app还款</t>
    <phoneticPr fontId="1" type="noConversion"/>
  </si>
  <si>
    <t>2.1 张买单吧</t>
    <phoneticPr fontId="1" type="noConversion"/>
  </si>
  <si>
    <t>2.8 支付宝app确认</t>
    <phoneticPr fontId="1" type="noConversion"/>
  </si>
  <si>
    <t>2.9 广发银行短信确认</t>
    <phoneticPr fontId="1" type="noConversion"/>
  </si>
  <si>
    <t>2.21 云闪付确认</t>
    <phoneticPr fontId="1" type="noConversion"/>
  </si>
  <si>
    <t>2.21 银行app确认</t>
    <phoneticPr fontId="1" type="noConversion"/>
  </si>
  <si>
    <r>
      <rPr>
        <sz val="12"/>
        <color rgb="FF000000"/>
        <rFont val="Microsoft YaHei"/>
        <family val="2"/>
        <charset val="134"/>
      </rPr>
      <t>2.23 云闪付确认</t>
    </r>
    <phoneticPr fontId="1" type="noConversion"/>
  </si>
  <si>
    <r>
      <rPr>
        <sz val="12"/>
        <color rgb="FF000000"/>
        <rFont val="Microsoft YaHei"/>
        <family val="2"/>
        <charset val="134"/>
      </rPr>
      <t>2.29 云闪付</t>
    </r>
    <phoneticPr fontId="1" type="noConversion"/>
  </si>
  <si>
    <r>
      <rPr>
        <sz val="12"/>
        <color rgb="FF000000"/>
        <rFont val="Microsoft YaHei"/>
        <family val="2"/>
        <charset val="134"/>
      </rPr>
      <t>2.29 查询无</t>
    </r>
    <phoneticPr fontId="1" type="noConversion"/>
  </si>
  <si>
    <r>
      <rPr>
        <sz val="12"/>
        <color rgb="FF000000"/>
        <rFont val="Microsoft YaHei"/>
        <family val="2"/>
        <charset val="134"/>
      </rPr>
      <t>tgbc电费</t>
    </r>
    <phoneticPr fontId="1" type="noConversion"/>
  </si>
  <si>
    <r>
      <rPr>
        <sz val="12"/>
        <color rgb="FF000000"/>
        <rFont val="Microsoft YaHei"/>
        <family val="2"/>
        <charset val="134"/>
      </rPr>
      <t>2.22 钱支付宝支付</t>
    </r>
    <phoneticPr fontId="1" type="noConversion"/>
  </si>
  <si>
    <r>
      <rPr>
        <sz val="12"/>
        <color rgb="FF000000"/>
        <rFont val="Microsoft YaHei"/>
        <family val="2"/>
        <charset val="134"/>
      </rPr>
      <t>电费（zjpl）</t>
    </r>
    <phoneticPr fontId="1" type="noConversion"/>
  </si>
  <si>
    <r>
      <rPr>
        <sz val="12"/>
        <color rgb="FF000000"/>
        <rFont val="Microsoft YaHei"/>
        <family val="2"/>
        <charset val="134"/>
      </rPr>
      <t>张买单吧支付 2.26</t>
    </r>
    <phoneticPr fontId="1" type="noConversion"/>
  </si>
  <si>
    <t>2.18 浦发信用卡积分充值，剩余9元网页支付宝支付</t>
    <phoneticPr fontId="1" type="noConversion"/>
  </si>
  <si>
    <t>公司电话费</t>
    <phoneticPr fontId="1" type="noConversion"/>
  </si>
  <si>
    <t>2.18支付宝花呗支付</t>
    <phoneticPr fontId="1" type="noConversion"/>
  </si>
  <si>
    <t>张</t>
    <phoneticPr fontId="18" type="noConversion"/>
  </si>
  <si>
    <t>2020年7月账单</t>
    <phoneticPr fontId="1" type="noConversion"/>
  </si>
  <si>
    <t>张 平安 0297</t>
    <phoneticPr fontId="1" type="noConversion"/>
  </si>
  <si>
    <t>张 工行 9552</t>
    <phoneticPr fontId="1" type="noConversion"/>
  </si>
  <si>
    <t>张-招行-8700</t>
    <phoneticPr fontId="1" type="noConversion"/>
  </si>
  <si>
    <t>居-广发</t>
    <phoneticPr fontId="1" type="noConversion"/>
  </si>
  <si>
    <t>居-工行</t>
    <phoneticPr fontId="1" type="noConversion"/>
  </si>
  <si>
    <t>张-花呗</t>
    <phoneticPr fontId="1" type="noConversion"/>
  </si>
  <si>
    <t>居-花呗</t>
    <phoneticPr fontId="1" type="noConversion"/>
  </si>
  <si>
    <t>居-平安-9211</t>
    <phoneticPr fontId="1" type="noConversion"/>
  </si>
  <si>
    <t>居-浦发</t>
    <phoneticPr fontId="1" type="noConversion"/>
  </si>
  <si>
    <t>居-招行-7815</t>
    <phoneticPr fontId="1" type="noConversion"/>
  </si>
  <si>
    <t>张-京东白条</t>
    <phoneticPr fontId="1" type="noConversion"/>
  </si>
  <si>
    <t>2020年8月账单</t>
    <phoneticPr fontId="1" type="noConversion"/>
  </si>
  <si>
    <t>张-广发-2668</t>
    <phoneticPr fontId="1" type="noConversion"/>
  </si>
  <si>
    <t>张 交通-4057</t>
    <phoneticPr fontId="1" type="noConversion"/>
  </si>
  <si>
    <t>张-民生-7516</t>
    <phoneticPr fontId="1" type="noConversion"/>
  </si>
  <si>
    <t>张-兴业-0106</t>
    <phoneticPr fontId="1" type="noConversion"/>
  </si>
  <si>
    <t>张-中信-6530</t>
    <phoneticPr fontId="1" type="noConversion"/>
  </si>
  <si>
    <t>张-浦发-4519</t>
    <phoneticPr fontId="1" type="noConversion"/>
  </si>
  <si>
    <t>居-中信-2382</t>
    <phoneticPr fontId="1" type="noConversion"/>
  </si>
  <si>
    <t>居-交行-7493</t>
    <phoneticPr fontId="1" type="noConversion"/>
  </si>
  <si>
    <t>未还金额</t>
    <phoneticPr fontId="1" type="noConversion"/>
  </si>
  <si>
    <t>还款日期</t>
    <phoneticPr fontId="1" type="noConversion"/>
  </si>
  <si>
    <t>本月总还款</t>
    <phoneticPr fontId="18" type="noConversion"/>
  </si>
  <si>
    <t>本月还需还款</t>
    <phoneticPr fontId="18" type="noConversion"/>
  </si>
  <si>
    <t>已还</t>
    <phoneticPr fontId="1" type="noConversion"/>
  </si>
  <si>
    <t>8.31</t>
    <phoneticPr fontId="18" type="noConversion"/>
  </si>
  <si>
    <t>居-工行-4133</t>
    <phoneticPr fontId="1" type="noConversion"/>
  </si>
  <si>
    <t>9.2</t>
    <phoneticPr fontId="18" type="noConversion"/>
  </si>
  <si>
    <t>9.3</t>
    <phoneticPr fontId="18" type="noConversion"/>
  </si>
  <si>
    <t>2020年9月账单</t>
    <phoneticPr fontId="1" type="noConversion"/>
  </si>
  <si>
    <t xml:space="preserve"> </t>
    <phoneticPr fontId="18" type="noConversion"/>
  </si>
  <si>
    <t>9.16</t>
    <phoneticPr fontId="18" type="noConversion"/>
  </si>
  <si>
    <t>9.20</t>
    <phoneticPr fontId="18" type="noConversion"/>
  </si>
  <si>
    <t>9.22</t>
    <phoneticPr fontId="18" type="noConversion"/>
  </si>
  <si>
    <t>9.26</t>
    <phoneticPr fontId="18" type="noConversion"/>
  </si>
  <si>
    <t>9.30</t>
    <phoneticPr fontId="18" type="noConversion"/>
  </si>
  <si>
    <t>2020年10月账单</t>
    <phoneticPr fontId="1" type="noConversion"/>
  </si>
  <si>
    <t>10.1</t>
    <phoneticPr fontId="18" type="noConversion"/>
  </si>
  <si>
    <t>10.2</t>
    <phoneticPr fontId="18" type="noConversion"/>
  </si>
  <si>
    <t>10.3</t>
    <phoneticPr fontId="18" type="noConversion"/>
  </si>
  <si>
    <t>10.4</t>
    <phoneticPr fontId="18" type="noConversion"/>
  </si>
  <si>
    <t>10.7</t>
    <phoneticPr fontId="18" type="noConversion"/>
  </si>
  <si>
    <t>10.8</t>
    <phoneticPr fontId="18" type="noConversion"/>
  </si>
  <si>
    <t>2020年10月信用卡账单</t>
    <phoneticPr fontId="1" type="noConversion"/>
  </si>
  <si>
    <t>姓名银行</t>
    <phoneticPr fontId="1" type="noConversion"/>
  </si>
  <si>
    <t>人民币账单</t>
    <phoneticPr fontId="1" type="noConversion"/>
  </si>
  <si>
    <t>还款日期备注</t>
    <phoneticPr fontId="1" type="noConversion"/>
  </si>
  <si>
    <t>1代表已还</t>
    <phoneticPr fontId="1" type="noConversion"/>
  </si>
  <si>
    <t>盛广发 1017</t>
    <phoneticPr fontId="1" type="noConversion"/>
  </si>
  <si>
    <t>1</t>
    <phoneticPr fontId="18" type="noConversion"/>
  </si>
  <si>
    <t>盛华夏 0477</t>
    <phoneticPr fontId="1" type="noConversion"/>
  </si>
  <si>
    <t>盛交行9310</t>
    <phoneticPr fontId="1" type="noConversion"/>
  </si>
  <si>
    <t>盛交行9927</t>
    <phoneticPr fontId="1" type="noConversion"/>
  </si>
  <si>
    <t>盛工行2090</t>
    <phoneticPr fontId="1" type="noConversion"/>
  </si>
  <si>
    <t>盛浦发6108</t>
    <phoneticPr fontId="1" type="noConversion"/>
  </si>
  <si>
    <t>盛平安6457</t>
    <phoneticPr fontId="1" type="noConversion"/>
  </si>
  <si>
    <t>韩平安</t>
    <phoneticPr fontId="1" type="noConversion"/>
  </si>
  <si>
    <t>盛招行2358</t>
    <phoneticPr fontId="1" type="noConversion"/>
  </si>
  <si>
    <t>韩上海 0843</t>
    <phoneticPr fontId="1" type="noConversion"/>
  </si>
  <si>
    <t>盛中行9821</t>
    <phoneticPr fontId="1" type="noConversion"/>
  </si>
  <si>
    <t>盛建行2828</t>
    <phoneticPr fontId="1" type="noConversion"/>
  </si>
  <si>
    <t>盛花呗</t>
    <phoneticPr fontId="1" type="noConversion"/>
  </si>
  <si>
    <t>还需还款金额</t>
    <phoneticPr fontId="18" type="noConversion"/>
  </si>
  <si>
    <t>总还款额</t>
    <phoneticPr fontId="18" type="noConversion"/>
  </si>
  <si>
    <t>本账单每月更新2次</t>
    <phoneticPr fontId="1" type="noConversion"/>
  </si>
  <si>
    <t>月底最后1天更新次月1—10日账单</t>
    <phoneticPr fontId="1" type="noConversion"/>
  </si>
  <si>
    <t>9日更新10—20日账单</t>
    <phoneticPr fontId="1" type="noConversion"/>
  </si>
  <si>
    <t>最后还款日是红色的代表历史上还款日变动过，不是固定日期。</t>
    <phoneticPr fontId="18" type="noConversion"/>
  </si>
  <si>
    <t>10.9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</si>
</sst>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);[Red]\(0.00\)"/>
    <numFmt numFmtId="177" formatCode="#,##0.00_ "/>
    <numFmt numFmtId="178" formatCode="0.00_ "/>
  </numFmts>
  <fonts count="39">
    <font>
      <sz val="12"/>
      <color theme="1"/>
      <name val="宋体"/>
      <charset val="134"/>
      <scheme val="minor"/>
    </font>
    <font>
      <sz val="12"/>
      <color theme="1"/>
      <name val="微软雅黑"/>
      <family val="2"/>
      <charset val="134"/>
    </font>
    <font>
      <b/>
      <sz val="12"/>
      <color rgb="FF000000"/>
      <name val="Microsoft YaHei"/>
      <family val="2"/>
      <charset val="134"/>
    </font>
    <font>
      <sz val="10"/>
      <color rgb="FF000000"/>
      <name val="微软雅黑"/>
      <family val="2"/>
      <charset val="134"/>
    </font>
    <font>
      <sz val="22"/>
      <color rgb="FF000000"/>
      <name val="华文新魏"/>
      <family val="3"/>
      <charset val="134"/>
    </font>
    <font>
      <sz val="16"/>
      <color rgb="FF000000"/>
      <name val="华文新魏"/>
      <family val="3"/>
      <charset val="134"/>
    </font>
    <font>
      <sz val="12"/>
      <color rgb="FF000000"/>
      <name val="Microsoft YaHei"/>
      <family val="2"/>
      <charset val="134"/>
    </font>
    <font>
      <sz val="12"/>
      <color rgb="FF000000"/>
      <name val="华文新魏"/>
      <family val="3"/>
      <charset val="134"/>
    </font>
    <font>
      <sz val="14"/>
      <color rgb="FF000000"/>
      <name val="华文新魏"/>
      <family val="3"/>
      <charset val="134"/>
    </font>
    <font>
      <sz val="9"/>
      <color rgb="FF000000"/>
      <name val="华文新魏"/>
      <family val="3"/>
      <charset val="134"/>
    </font>
    <font>
      <b/>
      <sz val="22"/>
      <color rgb="FF000000"/>
      <name val="Microsoft YaHei"/>
      <family val="2"/>
      <charset val="134"/>
    </font>
    <font>
      <b/>
      <sz val="14"/>
      <color rgb="FFFF0000"/>
      <name val="Microsoft YaHei"/>
      <family val="2"/>
      <charset val="134"/>
    </font>
    <font>
      <sz val="12"/>
      <color rgb="FF000000"/>
      <name val="微软雅黑"/>
      <family val="2"/>
      <charset val="134"/>
    </font>
    <font>
      <b/>
      <sz val="11"/>
      <color rgb="FF000000"/>
      <name val="华文新魏"/>
      <family val="3"/>
      <charset val="134"/>
    </font>
    <font>
      <sz val="11"/>
      <color rgb="FF000000"/>
      <name val="华文新魏"/>
      <family val="3"/>
      <charset val="134"/>
    </font>
    <font>
      <b/>
      <sz val="22"/>
      <color rgb="FF000000"/>
      <name val="微软雅黑"/>
      <family val="2"/>
      <charset val="134"/>
    </font>
    <font>
      <sz val="12"/>
      <name val="Microsoft YaHei"/>
      <family val="2"/>
      <charset val="134"/>
    </font>
    <font>
      <b/>
      <sz val="22"/>
      <name val="Microsoft YaHei"/>
      <family val="2"/>
      <charset val="134"/>
    </font>
    <font>
      <sz val="9"/>
      <name val="宋体"/>
      <family val="3"/>
      <charset val="134"/>
      <scheme val="minor"/>
    </font>
    <font>
      <b/>
      <sz val="9"/>
      <color rgb="FF000000"/>
      <name val="Microsoft YaHei Light"/>
      <family val="2"/>
      <charset val="134"/>
    </font>
    <font>
      <sz val="9"/>
      <color rgb="FF000000"/>
      <name val="Microsoft YaHei Light"/>
      <family val="2"/>
      <charset val="134"/>
    </font>
    <font>
      <sz val="9"/>
      <color theme="1"/>
      <name val="Microsoft YaHei Light"/>
      <family val="2"/>
      <charset val="134"/>
    </font>
    <font>
      <b/>
      <sz val="9"/>
      <color rgb="FFFF0000"/>
      <name val="Microsoft YaHei Light"/>
      <family val="2"/>
      <charset val="134"/>
    </font>
    <font>
      <b/>
      <sz val="24"/>
      <color rgb="FF000000"/>
      <name val="Microsoft YaHei Light"/>
      <family val="2"/>
      <charset val="134"/>
    </font>
    <font>
      <sz val="24"/>
      <color rgb="FF000000"/>
      <name val="微软雅黑"/>
      <family val="2"/>
      <charset val="134"/>
    </font>
    <font>
      <sz val="12"/>
      <color rgb="FF000000"/>
      <name val="宋体"/>
      <family val="3"/>
      <charset val="134"/>
    </font>
    <font>
      <b/>
      <sz val="9"/>
      <color rgb="FF000000"/>
      <name val="微软雅黑 Light"/>
      <family val="2"/>
      <charset val="134"/>
    </font>
    <font>
      <sz val="9"/>
      <color rgb="FF000000"/>
      <name val="宋体"/>
      <family val="3"/>
      <charset val="134"/>
    </font>
    <font>
      <sz val="9"/>
      <color rgb="FF000000"/>
      <name val="微软雅黑 Light"/>
      <family val="2"/>
      <charset val="134"/>
    </font>
    <font>
      <sz val="9"/>
      <color rgb="FF000000"/>
      <name val="Microsoft YaHei"/>
      <family val="2"/>
      <charset val="134"/>
    </font>
    <font>
      <sz val="9"/>
      <color rgb="FFFF0000"/>
      <name val="微软雅黑 Light"/>
      <family val="2"/>
      <charset val="134"/>
    </font>
    <font>
      <sz val="9"/>
      <color rgb="FF000000"/>
      <name val="微软雅黑"/>
      <family val="2"/>
      <charset val="134"/>
    </font>
    <font>
      <b/>
      <sz val="9"/>
      <color rgb="FFFF0000"/>
      <name val="微软雅黑 Light"/>
      <family val="2"/>
      <charset val="134"/>
    </font>
    <font>
      <b/>
      <sz val="9"/>
      <color rgb="FFFF0000"/>
      <name val="Microsoft YaHei"/>
      <family val="2"/>
      <charset val="134"/>
    </font>
    <font>
      <b/>
      <sz val="9"/>
      <color rgb="FFF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b/>
      <sz val="14"/>
      <color rgb="FFEF4E2F"/>
      <name val="宋体"/>
      <family val="3"/>
      <charset val="134"/>
    </font>
    <font>
      <b/>
      <sz val="18"/>
      <color rgb="FFEF4E2F"/>
      <name val="宋体"/>
      <family val="3"/>
      <charset val="134"/>
    </font>
    <font>
      <b/>
      <sz val="14"/>
      <color rgb="FFEF4E2F"/>
      <name val="SimSun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CDA7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rgb="FFFFFF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BCDA7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>
      <alignment vertical="center"/>
    </xf>
  </cellStyleXfs>
  <cellXfs count="177">
    <xf numFmtId="0" fontId="0" fillId="0" borderId="0" xfId="0">
      <alignment vertical="center"/>
    </xf>
    <xf numFmtId="0" fontId="4" fillId="0" borderId="0" xfId="0" applyNumberFormat="1" applyFont="1" applyBorder="1" applyAlignment="1">
      <alignment horizontal="left" vertical="center"/>
    </xf>
    <xf numFmtId="14" fontId="5" fillId="2" borderId="2" xfId="0" applyNumberFormat="1" applyFont="1" applyFill="1" applyBorder="1" applyAlignment="1">
      <alignment horizontal="left" vertical="center"/>
    </xf>
    <xf numFmtId="0" fontId="5" fillId="2" borderId="3" xfId="0" applyNumberFormat="1" applyFont="1" applyFill="1" applyBorder="1" applyAlignment="1">
      <alignment vertical="center"/>
    </xf>
    <xf numFmtId="176" fontId="5" fillId="2" borderId="3" xfId="0" applyNumberFormat="1" applyFont="1" applyFill="1" applyBorder="1" applyAlignment="1">
      <alignment vertical="center"/>
    </xf>
    <xf numFmtId="0" fontId="5" fillId="2" borderId="3" xfId="0" applyNumberFormat="1" applyFont="1" applyFill="1" applyBorder="1" applyAlignment="1">
      <alignment horizontal="right" vertical="center"/>
    </xf>
    <xf numFmtId="0" fontId="5" fillId="0" borderId="0" xfId="0" applyNumberFormat="1" applyFont="1" applyBorder="1" applyAlignment="1">
      <alignment horizontal="left" vertical="center"/>
    </xf>
    <xf numFmtId="14" fontId="6" fillId="3" borderId="4" xfId="0" applyNumberFormat="1" applyFont="1" applyFill="1" applyBorder="1" applyAlignment="1">
      <alignment horizontal="left" vertical="center"/>
    </xf>
    <xf numFmtId="0" fontId="6" fillId="3" borderId="4" xfId="0" applyNumberFormat="1" applyFont="1" applyFill="1" applyBorder="1" applyAlignment="1">
      <alignment vertical="center"/>
    </xf>
    <xf numFmtId="176" fontId="6" fillId="3" borderId="4" xfId="0" applyNumberFormat="1" applyFont="1" applyFill="1" applyBorder="1" applyAlignment="1">
      <alignment vertical="center"/>
    </xf>
    <xf numFmtId="14" fontId="3" fillId="0" borderId="4" xfId="0" applyNumberFormat="1" applyFont="1" applyBorder="1" applyAlignment="1">
      <alignment vertical="center"/>
    </xf>
    <xf numFmtId="0" fontId="6" fillId="0" borderId="0" xfId="0" applyNumberFormat="1" applyFont="1" applyBorder="1" applyAlignment="1">
      <alignment horizontal="left" vertical="center"/>
    </xf>
    <xf numFmtId="176" fontId="6" fillId="3" borderId="4" xfId="0" applyNumberFormat="1" applyFont="1" applyFill="1" applyBorder="1" applyAlignment="1">
      <alignment horizontal="right" vertical="center"/>
    </xf>
    <xf numFmtId="0" fontId="6" fillId="3" borderId="4" xfId="0" applyNumberFormat="1" applyFont="1" applyFill="1" applyBorder="1" applyAlignment="1">
      <alignment horizontal="right" vertical="center"/>
    </xf>
    <xf numFmtId="14" fontId="6" fillId="3" borderId="4" xfId="0" applyNumberFormat="1" applyFont="1" applyFill="1" applyBorder="1" applyAlignment="1">
      <alignment horizontal="right" vertical="center"/>
    </xf>
    <xf numFmtId="14" fontId="6" fillId="3" borderId="4" xfId="0" applyNumberFormat="1" applyFont="1" applyFill="1" applyBorder="1" applyAlignment="1">
      <alignment vertical="center"/>
    </xf>
    <xf numFmtId="0" fontId="7" fillId="0" borderId="0" xfId="0" applyNumberFormat="1" applyFont="1" applyBorder="1" applyAlignment="1">
      <alignment horizontal="left" vertical="center"/>
    </xf>
    <xf numFmtId="14" fontId="8" fillId="3" borderId="4" xfId="0" applyNumberFormat="1" applyFont="1" applyFill="1" applyBorder="1" applyAlignment="1">
      <alignment horizontal="left" vertical="center"/>
    </xf>
    <xf numFmtId="0" fontId="8" fillId="3" borderId="4" xfId="0" applyNumberFormat="1" applyFont="1" applyFill="1" applyBorder="1" applyAlignment="1">
      <alignment vertical="center"/>
    </xf>
    <xf numFmtId="176" fontId="8" fillId="3" borderId="4" xfId="0" applyNumberFormat="1" applyFont="1" applyFill="1" applyBorder="1" applyAlignment="1">
      <alignment vertical="center"/>
    </xf>
    <xf numFmtId="0" fontId="8" fillId="3" borderId="4" xfId="0" applyNumberFormat="1" applyFont="1" applyFill="1" applyBorder="1" applyAlignment="1">
      <alignment horizontal="right" vertical="center"/>
    </xf>
    <xf numFmtId="0" fontId="8" fillId="0" borderId="0" xfId="0" applyNumberFormat="1" applyFont="1" applyBorder="1" applyAlignment="1">
      <alignment horizontal="left" vertical="center"/>
    </xf>
    <xf numFmtId="14" fontId="9" fillId="0" borderId="0" xfId="0" applyNumberFormat="1" applyFont="1" applyBorder="1" applyAlignment="1">
      <alignment horizontal="left" vertical="center"/>
    </xf>
    <xf numFmtId="0" fontId="9" fillId="0" borderId="0" xfId="0" applyNumberFormat="1" applyFont="1" applyBorder="1" applyAlignment="1">
      <alignment horizontal="left" vertical="center"/>
    </xf>
    <xf numFmtId="176" fontId="9" fillId="0" borderId="0" xfId="0" applyNumberFormat="1" applyFont="1" applyBorder="1" applyAlignment="1">
      <alignment horizontal="right" vertical="center"/>
    </xf>
    <xf numFmtId="177" fontId="9" fillId="0" borderId="0" xfId="0" applyNumberFormat="1" applyFont="1" applyBorder="1" applyAlignment="1">
      <alignment horizontal="right" vertical="center"/>
    </xf>
    <xf numFmtId="30" fontId="7" fillId="0" borderId="0" xfId="0" applyNumberFormat="1" applyFont="1" applyBorder="1" applyAlignment="1">
      <alignment horizontal="left" vertical="center"/>
    </xf>
    <xf numFmtId="176" fontId="7" fillId="0" borderId="0" xfId="0" applyNumberFormat="1" applyFont="1" applyBorder="1" applyAlignment="1">
      <alignment horizontal="right" vertical="center"/>
    </xf>
    <xf numFmtId="177" fontId="7" fillId="0" borderId="0" xfId="0" applyNumberFormat="1" applyFont="1" applyBorder="1" applyAlignment="1">
      <alignment horizontal="right" vertical="center"/>
    </xf>
    <xf numFmtId="0" fontId="3" fillId="0" borderId="4" xfId="0" applyNumberFormat="1" applyFont="1" applyBorder="1" applyAlignment="1">
      <alignment vertical="center"/>
    </xf>
    <xf numFmtId="14" fontId="5" fillId="2" borderId="5" xfId="0" applyNumberFormat="1" applyFont="1" applyFill="1" applyBorder="1" applyAlignment="1">
      <alignment horizontal="left" vertical="center"/>
    </xf>
    <xf numFmtId="0" fontId="5" fillId="2" borderId="6" xfId="0" applyNumberFormat="1" applyFont="1" applyFill="1" applyBorder="1" applyAlignment="1">
      <alignment vertical="center"/>
    </xf>
    <xf numFmtId="176" fontId="5" fillId="2" borderId="6" xfId="0" applyNumberFormat="1" applyFont="1" applyFill="1" applyBorder="1" applyAlignment="1">
      <alignment vertical="center"/>
    </xf>
    <xf numFmtId="0" fontId="5" fillId="2" borderId="6" xfId="0" applyNumberFormat="1" applyFont="1" applyFill="1" applyBorder="1" applyAlignment="1">
      <alignment horizontal="right" vertical="center"/>
    </xf>
    <xf numFmtId="0" fontId="5" fillId="2" borderId="6" xfId="0" applyNumberFormat="1" applyFont="1" applyFill="1" applyBorder="1" applyAlignment="1">
      <alignment horizontal="left" vertical="center"/>
    </xf>
    <xf numFmtId="14" fontId="6" fillId="4" borderId="7" xfId="0" applyNumberFormat="1" applyFont="1" applyFill="1" applyBorder="1" applyAlignment="1">
      <alignment horizontal="left" vertical="center"/>
    </xf>
    <xf numFmtId="0" fontId="6" fillId="4" borderId="4" xfId="0" applyNumberFormat="1" applyFont="1" applyFill="1" applyBorder="1" applyAlignment="1">
      <alignment vertical="center"/>
    </xf>
    <xf numFmtId="176" fontId="6" fillId="4" borderId="4" xfId="0" applyNumberFormat="1" applyFont="1" applyFill="1" applyBorder="1" applyAlignment="1">
      <alignment vertical="center"/>
    </xf>
    <xf numFmtId="0" fontId="6" fillId="4" borderId="4" xfId="0" applyNumberFormat="1" applyFont="1" applyFill="1" applyBorder="1" applyAlignment="1">
      <alignment horizontal="right" vertical="center"/>
    </xf>
    <xf numFmtId="14" fontId="6" fillId="3" borderId="8" xfId="0" applyNumberFormat="1" applyFont="1" applyFill="1" applyBorder="1" applyAlignment="1">
      <alignment horizontal="left" vertical="center"/>
    </xf>
    <xf numFmtId="0" fontId="3" fillId="0" borderId="0" xfId="0" applyNumberFormat="1" applyFont="1" applyBorder="1" applyAlignment="1">
      <alignment vertical="center"/>
    </xf>
    <xf numFmtId="14" fontId="6" fillId="4" borderId="9" xfId="0" applyNumberFormat="1" applyFont="1" applyFill="1" applyBorder="1" applyAlignment="1">
      <alignment horizontal="left" vertical="center"/>
    </xf>
    <xf numFmtId="0" fontId="11" fillId="4" borderId="4" xfId="0" applyNumberFormat="1" applyFont="1" applyFill="1" applyBorder="1" applyAlignment="1">
      <alignment horizontal="right" vertical="center"/>
    </xf>
    <xf numFmtId="176" fontId="11" fillId="4" borderId="4" xfId="0" applyNumberFormat="1" applyFont="1" applyFill="1" applyBorder="1" applyAlignment="1">
      <alignment horizontal="right" vertical="center"/>
    </xf>
    <xf numFmtId="14" fontId="6" fillId="3" borderId="9" xfId="0" applyNumberFormat="1" applyFont="1" applyFill="1" applyBorder="1" applyAlignment="1">
      <alignment horizontal="left" vertical="center"/>
    </xf>
    <xf numFmtId="14" fontId="8" fillId="4" borderId="7" xfId="0" applyNumberFormat="1" applyFont="1" applyFill="1" applyBorder="1" applyAlignment="1">
      <alignment horizontal="left" vertical="center"/>
    </xf>
    <xf numFmtId="0" fontId="8" fillId="4" borderId="4" xfId="0" applyNumberFormat="1" applyFont="1" applyFill="1" applyBorder="1" applyAlignment="1">
      <alignment vertical="center"/>
    </xf>
    <xf numFmtId="176" fontId="8" fillId="4" borderId="4" xfId="0" applyNumberFormat="1" applyFont="1" applyFill="1" applyBorder="1" applyAlignment="1">
      <alignment vertical="center"/>
    </xf>
    <xf numFmtId="0" fontId="8" fillId="4" borderId="4" xfId="0" applyNumberFormat="1" applyFont="1" applyFill="1" applyBorder="1" applyAlignment="1">
      <alignment horizontal="right" vertical="center"/>
    </xf>
    <xf numFmtId="176" fontId="6" fillId="4" borderId="4" xfId="0" applyNumberFormat="1" applyFont="1" applyFill="1" applyBorder="1" applyAlignment="1">
      <alignment horizontal="right" vertical="center"/>
    </xf>
    <xf numFmtId="176" fontId="8" fillId="4" borderId="4" xfId="0" applyNumberFormat="1" applyFont="1" applyFill="1" applyBorder="1" applyAlignment="1">
      <alignment horizontal="right" vertical="center"/>
    </xf>
    <xf numFmtId="14" fontId="5" fillId="2" borderId="11" xfId="0" applyNumberFormat="1" applyFont="1" applyFill="1" applyBorder="1" applyAlignment="1">
      <alignment horizontal="left" vertical="center"/>
    </xf>
    <xf numFmtId="0" fontId="5" fillId="2" borderId="11" xfId="0" applyNumberFormat="1" applyFont="1" applyFill="1" applyBorder="1" applyAlignment="1">
      <alignment vertical="center"/>
    </xf>
    <xf numFmtId="49" fontId="5" fillId="2" borderId="11" xfId="0" applyNumberFormat="1" applyFont="1" applyFill="1" applyBorder="1" applyAlignment="1">
      <alignment vertical="center"/>
    </xf>
    <xf numFmtId="14" fontId="6" fillId="3" borderId="12" xfId="0" applyNumberFormat="1" applyFont="1" applyFill="1" applyBorder="1" applyAlignment="1">
      <alignment horizontal="left" vertical="center"/>
    </xf>
    <xf numFmtId="0" fontId="6" fillId="3" borderId="13" xfId="0" applyNumberFormat="1" applyFont="1" applyFill="1" applyBorder="1" applyAlignment="1">
      <alignment vertical="center"/>
    </xf>
    <xf numFmtId="0" fontId="6" fillId="3" borderId="13" xfId="0" applyNumberFormat="1" applyFont="1" applyFill="1" applyBorder="1" applyAlignment="1">
      <alignment horizontal="left" vertical="center"/>
    </xf>
    <xf numFmtId="49" fontId="5" fillId="3" borderId="11" xfId="0" applyNumberFormat="1" applyFont="1" applyFill="1" applyBorder="1" applyAlignment="1">
      <alignment vertical="center"/>
    </xf>
    <xf numFmtId="0" fontId="3" fillId="3" borderId="0" xfId="0" applyNumberFormat="1" applyFont="1" applyFill="1" applyBorder="1" applyAlignment="1">
      <alignment vertical="center"/>
    </xf>
    <xf numFmtId="0" fontId="3" fillId="0" borderId="0" xfId="0" applyNumberFormat="1" applyFont="1" applyBorder="1">
      <alignment vertical="center"/>
    </xf>
    <xf numFmtId="14" fontId="6" fillId="3" borderId="13" xfId="0" applyNumberFormat="1" applyFont="1" applyFill="1" applyBorder="1" applyAlignment="1">
      <alignment horizontal="left" vertical="center"/>
    </xf>
    <xf numFmtId="49" fontId="7" fillId="3" borderId="13" xfId="0" applyNumberFormat="1" applyFont="1" applyFill="1" applyBorder="1" applyAlignment="1">
      <alignment horizontal="left" vertical="center"/>
    </xf>
    <xf numFmtId="0" fontId="12" fillId="0" borderId="13" xfId="0" applyNumberFormat="1" applyFont="1" applyBorder="1" applyAlignment="1">
      <alignment horizontal="left" vertical="center"/>
    </xf>
    <xf numFmtId="176" fontId="6" fillId="3" borderId="13" xfId="0" applyNumberFormat="1" applyFont="1" applyFill="1" applyBorder="1" applyAlignment="1">
      <alignment horizontal="left" vertical="center"/>
    </xf>
    <xf numFmtId="49" fontId="6" fillId="3" borderId="13" xfId="0" applyNumberFormat="1" applyFont="1" applyFill="1" applyBorder="1" applyAlignment="1">
      <alignment horizontal="left" vertical="center"/>
    </xf>
    <xf numFmtId="0" fontId="12" fillId="3" borderId="13" xfId="0" applyNumberFormat="1" applyFont="1" applyFill="1" applyBorder="1" applyAlignment="1">
      <alignment horizontal="left" vertical="center"/>
    </xf>
    <xf numFmtId="0" fontId="6" fillId="0" borderId="13" xfId="0" applyNumberFormat="1" applyFont="1" applyBorder="1" applyAlignment="1">
      <alignment horizontal="left" vertical="center"/>
    </xf>
    <xf numFmtId="49" fontId="6" fillId="0" borderId="13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vertical="center"/>
    </xf>
    <xf numFmtId="14" fontId="13" fillId="2" borderId="5" xfId="0" applyNumberFormat="1" applyFont="1" applyFill="1" applyBorder="1" applyAlignment="1">
      <alignment vertical="center"/>
    </xf>
    <xf numFmtId="0" fontId="13" fillId="2" borderId="6" xfId="0" applyNumberFormat="1" applyFont="1" applyFill="1" applyBorder="1" applyAlignment="1">
      <alignment vertical="center"/>
    </xf>
    <xf numFmtId="176" fontId="13" fillId="2" borderId="6" xfId="0" applyNumberFormat="1" applyFont="1" applyFill="1" applyBorder="1" applyAlignment="1">
      <alignment vertical="center"/>
    </xf>
    <xf numFmtId="0" fontId="13" fillId="2" borderId="6" xfId="0" applyNumberFormat="1" applyFont="1" applyFill="1" applyBorder="1" applyAlignment="1">
      <alignment horizontal="left" vertical="center"/>
    </xf>
    <xf numFmtId="14" fontId="14" fillId="3" borderId="8" xfId="0" applyNumberFormat="1" applyFont="1" applyFill="1" applyBorder="1" applyAlignment="1">
      <alignment vertical="center"/>
    </xf>
    <xf numFmtId="0" fontId="14" fillId="3" borderId="4" xfId="0" applyNumberFormat="1" applyFont="1" applyFill="1" applyBorder="1" applyAlignment="1">
      <alignment vertical="center"/>
    </xf>
    <xf numFmtId="176" fontId="14" fillId="3" borderId="4" xfId="0" applyNumberFormat="1" applyFont="1" applyFill="1" applyBorder="1" applyAlignment="1">
      <alignment vertical="center"/>
    </xf>
    <xf numFmtId="14" fontId="14" fillId="4" borderId="7" xfId="0" applyNumberFormat="1" applyFont="1" applyFill="1" applyBorder="1" applyAlignment="1">
      <alignment vertical="center"/>
    </xf>
    <xf numFmtId="0" fontId="14" fillId="4" borderId="4" xfId="0" applyNumberFormat="1" applyFont="1" applyFill="1" applyBorder="1" applyAlignment="1">
      <alignment vertical="center"/>
    </xf>
    <xf numFmtId="176" fontId="14" fillId="4" borderId="4" xfId="0" applyNumberFormat="1" applyFont="1" applyFill="1" applyBorder="1" applyAlignment="1">
      <alignment vertical="center"/>
    </xf>
    <xf numFmtId="14" fontId="14" fillId="4" borderId="7" xfId="0" applyNumberFormat="1" applyFont="1" applyFill="1" applyBorder="1" applyAlignment="1">
      <alignment horizontal="right" vertical="center"/>
    </xf>
    <xf numFmtId="14" fontId="9" fillId="0" borderId="0" xfId="0" applyNumberFormat="1" applyFont="1" applyBorder="1" applyAlignment="1">
      <alignment horizontal="right" vertical="center"/>
    </xf>
    <xf numFmtId="30" fontId="7" fillId="0" borderId="0" xfId="0" applyNumberFormat="1" applyFont="1" applyBorder="1" applyAlignment="1">
      <alignment horizontal="right" vertical="center"/>
    </xf>
    <xf numFmtId="176" fontId="2" fillId="3" borderId="4" xfId="0" applyNumberFormat="1" applyFont="1" applyFill="1" applyBorder="1" applyAlignment="1">
      <alignment vertical="center"/>
    </xf>
    <xf numFmtId="176" fontId="2" fillId="3" borderId="4" xfId="0" applyNumberFormat="1" applyFont="1" applyFill="1" applyBorder="1" applyAlignment="1">
      <alignment horizontal="right" vertical="center"/>
    </xf>
    <xf numFmtId="14" fontId="5" fillId="2" borderId="3" xfId="0" applyNumberFormat="1" applyFont="1" applyFill="1" applyBorder="1" applyAlignment="1">
      <alignment horizontal="right" vertical="center"/>
    </xf>
    <xf numFmtId="14" fontId="8" fillId="3" borderId="4" xfId="0" applyNumberFormat="1" applyFont="1" applyFill="1" applyBorder="1" applyAlignment="1">
      <alignment horizontal="right" vertical="center"/>
    </xf>
    <xf numFmtId="14" fontId="7" fillId="0" borderId="0" xfId="0" applyNumberFormat="1" applyFont="1" applyBorder="1" applyAlignment="1">
      <alignment horizontal="left" vertical="center"/>
    </xf>
    <xf numFmtId="14" fontId="7" fillId="0" borderId="0" xfId="0" applyNumberFormat="1" applyFont="1" applyBorder="1" applyAlignment="1">
      <alignment horizontal="right" vertical="center"/>
    </xf>
    <xf numFmtId="14" fontId="0" fillId="0" borderId="0" xfId="0" applyNumberFormat="1">
      <alignment vertical="center"/>
    </xf>
    <xf numFmtId="0" fontId="20" fillId="6" borderId="0" xfId="0" applyNumberFormat="1" applyFont="1" applyFill="1" applyBorder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1" fillId="0" borderId="0" xfId="0" applyFont="1">
      <alignment vertical="center"/>
    </xf>
    <xf numFmtId="14" fontId="20" fillId="2" borderId="14" xfId="0" applyNumberFormat="1" applyFont="1" applyFill="1" applyBorder="1" applyAlignment="1">
      <alignment horizontal="left" vertical="center"/>
    </xf>
    <xf numFmtId="0" fontId="20" fillId="2" borderId="14" xfId="0" applyNumberFormat="1" applyFont="1" applyFill="1" applyBorder="1" applyAlignment="1">
      <alignment vertical="center"/>
    </xf>
    <xf numFmtId="176" fontId="20" fillId="2" borderId="14" xfId="0" applyNumberFormat="1" applyFont="1" applyFill="1" applyBorder="1" applyAlignment="1">
      <alignment vertical="center"/>
    </xf>
    <xf numFmtId="14" fontId="20" fillId="2" borderId="14" xfId="0" applyNumberFormat="1" applyFont="1" applyFill="1" applyBorder="1" applyAlignment="1">
      <alignment horizontal="right" vertical="center"/>
    </xf>
    <xf numFmtId="14" fontId="20" fillId="3" borderId="14" xfId="0" applyNumberFormat="1" applyFont="1" applyFill="1" applyBorder="1" applyAlignment="1">
      <alignment horizontal="left" vertical="center"/>
    </xf>
    <xf numFmtId="0" fontId="20" fillId="3" borderId="14" xfId="0" applyNumberFormat="1" applyFont="1" applyFill="1" applyBorder="1" applyAlignment="1">
      <alignment vertical="center"/>
    </xf>
    <xf numFmtId="176" fontId="20" fillId="3" borderId="14" xfId="0" applyNumberFormat="1" applyFont="1" applyFill="1" applyBorder="1" applyAlignment="1">
      <alignment vertical="center"/>
    </xf>
    <xf numFmtId="14" fontId="20" fillId="0" borderId="14" xfId="0" applyNumberFormat="1" applyFont="1" applyBorder="1" applyAlignment="1">
      <alignment vertical="center"/>
    </xf>
    <xf numFmtId="14" fontId="20" fillId="5" borderId="14" xfId="0" applyNumberFormat="1" applyFont="1" applyFill="1" applyBorder="1" applyAlignment="1">
      <alignment horizontal="left" vertical="center"/>
    </xf>
    <xf numFmtId="0" fontId="20" fillId="5" borderId="14" xfId="0" applyNumberFormat="1" applyFont="1" applyFill="1" applyBorder="1" applyAlignment="1">
      <alignment vertical="center"/>
    </xf>
    <xf numFmtId="176" fontId="20" fillId="5" borderId="14" xfId="0" applyNumberFormat="1" applyFont="1" applyFill="1" applyBorder="1" applyAlignment="1">
      <alignment horizontal="right" vertical="center"/>
    </xf>
    <xf numFmtId="14" fontId="20" fillId="5" borderId="14" xfId="0" applyNumberFormat="1" applyFont="1" applyFill="1" applyBorder="1" applyAlignment="1">
      <alignment vertical="center"/>
    </xf>
    <xf numFmtId="0" fontId="21" fillId="5" borderId="0" xfId="0" applyFont="1" applyFill="1">
      <alignment vertical="center"/>
    </xf>
    <xf numFmtId="0" fontId="20" fillId="3" borderId="14" xfId="0" applyNumberFormat="1" applyFont="1" applyFill="1" applyBorder="1" applyAlignment="1">
      <alignment horizontal="right" vertical="center"/>
    </xf>
    <xf numFmtId="176" fontId="20" fillId="3" borderId="14" xfId="0" applyNumberFormat="1" applyFont="1" applyFill="1" applyBorder="1" applyAlignment="1">
      <alignment horizontal="right" vertical="center"/>
    </xf>
    <xf numFmtId="14" fontId="21" fillId="0" borderId="0" xfId="0" applyNumberFormat="1" applyFont="1">
      <alignment vertical="center"/>
    </xf>
    <xf numFmtId="176" fontId="20" fillId="5" borderId="14" xfId="0" applyNumberFormat="1" applyFont="1" applyFill="1" applyBorder="1" applyAlignment="1">
      <alignment vertical="center"/>
    </xf>
    <xf numFmtId="14" fontId="20" fillId="5" borderId="14" xfId="0" applyNumberFormat="1" applyFont="1" applyFill="1" applyBorder="1" applyAlignment="1">
      <alignment horizontal="right" vertical="center"/>
    </xf>
    <xf numFmtId="14" fontId="20" fillId="3" borderId="14" xfId="0" applyNumberFormat="1" applyFont="1" applyFill="1" applyBorder="1" applyAlignment="1">
      <alignment vertical="center"/>
    </xf>
    <xf numFmtId="14" fontId="20" fillId="3" borderId="14" xfId="0" applyNumberFormat="1" applyFont="1" applyFill="1" applyBorder="1" applyAlignment="1">
      <alignment horizontal="right" vertical="center"/>
    </xf>
    <xf numFmtId="14" fontId="20" fillId="0" borderId="0" xfId="0" applyNumberFormat="1" applyFont="1" applyBorder="1" applyAlignment="1">
      <alignment horizontal="left" vertical="center"/>
    </xf>
    <xf numFmtId="176" fontId="20" fillId="0" borderId="0" xfId="0" applyNumberFormat="1" applyFont="1" applyBorder="1" applyAlignment="1">
      <alignment horizontal="right" vertical="center"/>
    </xf>
    <xf numFmtId="14" fontId="20" fillId="0" borderId="0" xfId="0" applyNumberFormat="1" applyFont="1" applyBorder="1" applyAlignment="1">
      <alignment horizontal="right" vertical="center"/>
    </xf>
    <xf numFmtId="30" fontId="20" fillId="0" borderId="0" xfId="0" applyNumberFormat="1" applyFont="1" applyBorder="1" applyAlignment="1">
      <alignment horizontal="left" vertical="center"/>
    </xf>
    <xf numFmtId="0" fontId="21" fillId="6" borderId="0" xfId="0" applyFont="1" applyFill="1">
      <alignment vertical="center"/>
    </xf>
    <xf numFmtId="49" fontId="20" fillId="6" borderId="0" xfId="0" applyNumberFormat="1" applyFont="1" applyFill="1" applyBorder="1" applyAlignment="1">
      <alignment horizontal="left" vertical="center"/>
    </xf>
    <xf numFmtId="49" fontId="21" fillId="6" borderId="0" xfId="0" applyNumberFormat="1" applyFont="1" applyFill="1">
      <alignment vertical="center"/>
    </xf>
    <xf numFmtId="49" fontId="20" fillId="0" borderId="0" xfId="0" applyNumberFormat="1" applyFont="1" applyBorder="1" applyAlignment="1">
      <alignment horizontal="left" vertical="center"/>
    </xf>
    <xf numFmtId="49" fontId="20" fillId="2" borderId="14" xfId="0" applyNumberFormat="1" applyFont="1" applyFill="1" applyBorder="1" applyAlignment="1">
      <alignment horizontal="left" vertical="center"/>
    </xf>
    <xf numFmtId="49" fontId="20" fillId="0" borderId="14" xfId="0" applyNumberFormat="1" applyFont="1" applyBorder="1" applyAlignment="1">
      <alignment horizontal="left" vertical="center"/>
    </xf>
    <xf numFmtId="49" fontId="20" fillId="5" borderId="14" xfId="0" applyNumberFormat="1" applyFont="1" applyFill="1" applyBorder="1" applyAlignment="1">
      <alignment horizontal="left" vertical="center"/>
    </xf>
    <xf numFmtId="49" fontId="21" fillId="0" borderId="0" xfId="0" applyNumberFormat="1" applyFont="1" applyAlignment="1">
      <alignment horizontal="left" vertical="center"/>
    </xf>
    <xf numFmtId="49" fontId="20" fillId="3" borderId="14" xfId="0" applyNumberFormat="1" applyFont="1" applyFill="1" applyBorder="1" applyAlignment="1">
      <alignment horizontal="left" vertical="center"/>
    </xf>
    <xf numFmtId="176" fontId="22" fillId="3" borderId="14" xfId="0" applyNumberFormat="1" applyFont="1" applyFill="1" applyBorder="1" applyAlignment="1">
      <alignment vertical="center"/>
    </xf>
    <xf numFmtId="49" fontId="24" fillId="0" borderId="0" xfId="0" applyNumberFormat="1" applyFont="1">
      <alignment vertical="center"/>
    </xf>
    <xf numFmtId="0" fontId="25" fillId="0" borderId="0" xfId="0" applyFont="1" applyAlignment="1">
      <alignment horizontal="left" vertical="center"/>
    </xf>
    <xf numFmtId="0" fontId="26" fillId="2" borderId="13" xfId="0" applyFont="1" applyFill="1" applyBorder="1" applyAlignment="1">
      <alignment horizontal="center" vertical="center"/>
    </xf>
    <xf numFmtId="14" fontId="26" fillId="2" borderId="13" xfId="0" applyNumberFormat="1" applyFont="1" applyFill="1" applyBorder="1" applyAlignment="1">
      <alignment horizontal="center" vertical="center"/>
    </xf>
    <xf numFmtId="178" fontId="26" fillId="2" borderId="13" xfId="0" applyNumberFormat="1" applyFont="1" applyFill="1" applyBorder="1" applyAlignment="1">
      <alignment horizontal="center" vertical="center"/>
    </xf>
    <xf numFmtId="49" fontId="26" fillId="2" borderId="13" xfId="0" applyNumberFormat="1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/>
    </xf>
    <xf numFmtId="0" fontId="28" fillId="3" borderId="13" xfId="0" applyFont="1" applyFill="1" applyBorder="1" applyAlignment="1">
      <alignment horizontal="center" vertical="center"/>
    </xf>
    <xf numFmtId="14" fontId="28" fillId="3" borderId="13" xfId="0" applyNumberFormat="1" applyFont="1" applyFill="1" applyBorder="1" applyAlignment="1">
      <alignment horizontal="center" vertical="center"/>
    </xf>
    <xf numFmtId="176" fontId="29" fillId="3" borderId="13" xfId="0" applyNumberFormat="1" applyFont="1" applyFill="1" applyBorder="1" applyAlignment="1">
      <alignment horizontal="right" vertical="center"/>
    </xf>
    <xf numFmtId="49" fontId="26" fillId="3" borderId="13" xfId="0" applyNumberFormat="1" applyFont="1" applyFill="1" applyBorder="1" applyAlignment="1">
      <alignment horizontal="left" vertical="center"/>
    </xf>
    <xf numFmtId="14" fontId="30" fillId="3" borderId="13" xfId="0" applyNumberFormat="1" applyFont="1" applyFill="1" applyBorder="1" applyAlignment="1">
      <alignment horizontal="center" vertical="center"/>
    </xf>
    <xf numFmtId="178" fontId="29" fillId="3" borderId="13" xfId="0" applyNumberFormat="1" applyFont="1" applyFill="1" applyBorder="1">
      <alignment vertical="center"/>
    </xf>
    <xf numFmtId="0" fontId="29" fillId="3" borderId="13" xfId="0" applyFont="1" applyFill="1" applyBorder="1">
      <alignment vertical="center"/>
    </xf>
    <xf numFmtId="49" fontId="31" fillId="3" borderId="13" xfId="0" applyNumberFormat="1" applyFont="1" applyFill="1" applyBorder="1">
      <alignment vertical="center"/>
    </xf>
    <xf numFmtId="0" fontId="31" fillId="0" borderId="0" xfId="0" applyFont="1">
      <alignment vertical="center"/>
    </xf>
    <xf numFmtId="0" fontId="32" fillId="3" borderId="13" xfId="0" applyFont="1" applyFill="1" applyBorder="1" applyAlignment="1">
      <alignment horizontal="center" vertical="center"/>
    </xf>
    <xf numFmtId="14" fontId="32" fillId="3" borderId="13" xfId="0" applyNumberFormat="1" applyFont="1" applyFill="1" applyBorder="1" applyAlignment="1">
      <alignment horizontal="center" vertical="center"/>
    </xf>
    <xf numFmtId="176" fontId="33" fillId="3" borderId="13" xfId="0" applyNumberFormat="1" applyFont="1" applyFill="1" applyBorder="1" applyAlignment="1">
      <alignment horizontal="right" vertical="center"/>
    </xf>
    <xf numFmtId="49" fontId="32" fillId="3" borderId="13" xfId="0" applyNumberFormat="1" applyFont="1" applyFill="1" applyBorder="1" applyAlignment="1">
      <alignment horizontal="left" vertical="center"/>
    </xf>
    <xf numFmtId="0" fontId="34" fillId="0" borderId="0" xfId="0" applyFont="1" applyAlignment="1">
      <alignment horizontal="left" vertical="center"/>
    </xf>
    <xf numFmtId="0" fontId="35" fillId="0" borderId="0" xfId="0" applyFont="1" applyAlignment="1">
      <alignment horizontal="left" vertical="center"/>
    </xf>
    <xf numFmtId="0" fontId="32" fillId="3" borderId="0" xfId="0" applyFont="1" applyFill="1" applyAlignment="1">
      <alignment horizontal="center" vertical="center"/>
    </xf>
    <xf numFmtId="14" fontId="32" fillId="3" borderId="0" xfId="0" applyNumberFormat="1" applyFont="1" applyFill="1" applyAlignment="1">
      <alignment horizontal="center" vertical="center"/>
    </xf>
    <xf numFmtId="176" fontId="33" fillId="3" borderId="0" xfId="0" applyNumberFormat="1" applyFont="1" applyFill="1" applyAlignment="1">
      <alignment horizontal="right" vertical="center"/>
    </xf>
    <xf numFmtId="49" fontId="32" fillId="3" borderId="0" xfId="0" applyNumberFormat="1" applyFont="1" applyFill="1" applyAlignment="1">
      <alignment horizontal="left" vertical="center"/>
    </xf>
    <xf numFmtId="49" fontId="36" fillId="0" borderId="17" xfId="0" applyNumberFormat="1" applyFont="1" applyBorder="1" applyAlignment="1">
      <alignment horizontal="left" vertical="center"/>
    </xf>
    <xf numFmtId="0" fontId="37" fillId="0" borderId="0" xfId="0" applyFont="1" applyAlignment="1">
      <alignment horizontal="left" vertical="center"/>
    </xf>
    <xf numFmtId="0" fontId="38" fillId="0" borderId="18" xfId="0" applyFont="1" applyBorder="1">
      <alignment vertical="center"/>
    </xf>
    <xf numFmtId="0" fontId="38" fillId="0" borderId="0" xfId="0" applyFont="1">
      <alignment vertical="center"/>
    </xf>
    <xf numFmtId="49" fontId="38" fillId="0" borderId="0" xfId="0" applyNumberFormat="1" applyFont="1">
      <alignment vertical="center"/>
    </xf>
    <xf numFmtId="49" fontId="38" fillId="0" borderId="19" xfId="0" applyNumberFormat="1" applyFont="1" applyBorder="1" applyAlignment="1">
      <alignment horizontal="left" vertical="center"/>
    </xf>
    <xf numFmtId="49" fontId="36" fillId="0" borderId="22" xfId="0" applyNumberFormat="1" applyFont="1" applyBorder="1" applyAlignment="1">
      <alignment horizontal="left" vertical="center"/>
    </xf>
    <xf numFmtId="30" fontId="25" fillId="0" borderId="0" xfId="0" applyNumberFormat="1" applyFont="1" applyAlignment="1">
      <alignment horizontal="center" vertical="center"/>
    </xf>
    <xf numFmtId="176" fontId="25" fillId="0" borderId="0" xfId="0" applyNumberFormat="1" applyFont="1" applyAlignment="1">
      <alignment horizontal="right" vertical="center"/>
    </xf>
    <xf numFmtId="49" fontId="25" fillId="0" borderId="0" xfId="0" applyNumberFormat="1" applyFont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23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19" fillId="0" borderId="0" xfId="0" applyNumberFormat="1" applyFont="1" applyBorder="1" applyAlignment="1">
      <alignment horizontal="center" vertical="center"/>
    </xf>
    <xf numFmtId="0" fontId="20" fillId="0" borderId="0" xfId="0" applyNumberFormat="1" applyFont="1" applyBorder="1" applyAlignment="1">
      <alignment vertical="center"/>
    </xf>
    <xf numFmtId="0" fontId="36" fillId="0" borderId="15" xfId="0" applyFont="1" applyBorder="1" applyAlignment="1">
      <alignment horizontal="left" vertical="center"/>
    </xf>
    <xf numFmtId="0" fontId="36" fillId="0" borderId="16" xfId="0" applyFont="1" applyBorder="1" applyAlignment="1">
      <alignment horizontal="left" vertical="center"/>
    </xf>
    <xf numFmtId="0" fontId="36" fillId="0" borderId="20" xfId="0" applyFont="1" applyBorder="1" applyAlignment="1">
      <alignment horizontal="left" vertical="center"/>
    </xf>
    <xf numFmtId="0" fontId="36" fillId="0" borderId="21" xfId="0" applyFont="1" applyBorder="1" applyAlignment="1">
      <alignment horizontal="left" vertical="center"/>
    </xf>
    <xf numFmtId="0" fontId="2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vertical="center"/>
    </xf>
    <xf numFmtId="0" fontId="10" fillId="0" borderId="1" xfId="0" applyNumberFormat="1" applyFont="1" applyBorder="1" applyAlignment="1">
      <alignment horizontal="center" vertical="center"/>
    </xf>
    <xf numFmtId="0" fontId="10" fillId="0" borderId="10" xfId="0" applyNumberFormat="1" applyFont="1" applyBorder="1" applyAlignment="1">
      <alignment horizontal="center" vertical="center"/>
    </xf>
    <xf numFmtId="0" fontId="3" fillId="0" borderId="10" xfId="0" applyNumberFormat="1" applyFont="1" applyBorder="1" applyAlignment="1">
      <alignment vertical="center"/>
    </xf>
    <xf numFmtId="0" fontId="15" fillId="0" borderId="1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7915-B6C7-42C2-BE5D-80E5F61DD024}">
  <dimension ref="A1:Z196"/>
  <sheetViews>
    <sheetView showGridLines="0" tabSelected="1" zoomScaleNormal="100" zoomScaleSheetLayoutView="100" workbookViewId="0">
      <pane ySplit="2" topLeftCell="A3" activePane="bottomLeft" state="frozen"/>
      <selection pane="bottomLeft" activeCell="D13" sqref="D13"/>
    </sheetView>
  </sheetViews>
  <sheetFormatPr defaultColWidth="8.75" defaultRowHeight="14.25"/>
  <cols>
    <col min="1" max="1" width="8.875" style="91" bestFit="1" customWidth="1"/>
    <col min="2" max="2" width="10.75" style="91" bestFit="1" customWidth="1"/>
    <col min="3" max="3" width="11" style="91" customWidth="1"/>
    <col min="4" max="4" width="8.25" style="123" bestFit="1" customWidth="1"/>
    <col min="5" max="5" width="4.375" style="91" bestFit="1" customWidth="1"/>
    <col min="6" max="6" width="9.125" style="118" customWidth="1"/>
    <col min="7" max="19" width="9.125" style="116" customWidth="1"/>
    <col min="20" max="25" width="9.125" style="91" customWidth="1"/>
    <col min="26" max="16384" width="8.75" style="91"/>
  </cols>
  <sheetData>
    <row r="1" spans="1:26" ht="21.6" customHeight="1">
      <c r="A1" s="165" t="s">
        <v>160</v>
      </c>
      <c r="B1" s="166"/>
      <c r="C1" s="166"/>
      <c r="D1" s="166"/>
      <c r="E1" s="166"/>
      <c r="F1" s="117"/>
      <c r="G1" s="89"/>
      <c r="H1" s="89"/>
      <c r="I1" s="89"/>
      <c r="J1" s="163" t="s">
        <v>167</v>
      </c>
      <c r="K1" s="164"/>
      <c r="L1" s="164"/>
      <c r="M1" s="164"/>
      <c r="N1" s="126"/>
      <c r="O1" s="127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149999999999999" customHeight="1">
      <c r="A2" s="92" t="s">
        <v>83</v>
      </c>
      <c r="B2" s="93" t="s">
        <v>3</v>
      </c>
      <c r="C2" s="94" t="s">
        <v>144</v>
      </c>
      <c r="D2" s="120" t="s">
        <v>145</v>
      </c>
      <c r="E2" s="93" t="s">
        <v>6</v>
      </c>
      <c r="F2" s="93" t="s">
        <v>148</v>
      </c>
      <c r="G2" s="89"/>
      <c r="H2" s="89"/>
      <c r="I2" s="89"/>
      <c r="J2" s="128" t="s">
        <v>168</v>
      </c>
      <c r="K2" s="129" t="s">
        <v>83</v>
      </c>
      <c r="L2" s="130" t="s">
        <v>169</v>
      </c>
      <c r="M2" s="131" t="s">
        <v>170</v>
      </c>
      <c r="N2" s="131" t="s">
        <v>171</v>
      </c>
      <c r="O2" s="132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149999999999999" customHeight="1">
      <c r="A3" s="96">
        <v>44105</v>
      </c>
      <c r="B3" s="97" t="s">
        <v>127</v>
      </c>
      <c r="C3" s="98">
        <v>0</v>
      </c>
      <c r="D3" s="121" t="s">
        <v>161</v>
      </c>
      <c r="E3" s="97"/>
      <c r="F3" s="97">
        <v>1</v>
      </c>
      <c r="G3" s="89"/>
      <c r="H3" s="89"/>
      <c r="I3" s="89"/>
      <c r="J3" s="133" t="s">
        <v>172</v>
      </c>
      <c r="K3" s="134">
        <v>44105</v>
      </c>
      <c r="L3" s="135">
        <v>12353.51</v>
      </c>
      <c r="M3" s="136"/>
      <c r="N3" s="136" t="s">
        <v>173</v>
      </c>
      <c r="O3" s="132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149999999999999" customHeight="1">
      <c r="A4" s="96">
        <v>44106</v>
      </c>
      <c r="B4" s="97" t="s">
        <v>142</v>
      </c>
      <c r="C4" s="98">
        <v>208.24</v>
      </c>
      <c r="D4" s="121" t="s">
        <v>161</v>
      </c>
      <c r="E4" s="97"/>
      <c r="F4" s="97">
        <v>1</v>
      </c>
      <c r="G4" s="89"/>
      <c r="H4" s="89"/>
      <c r="I4" s="89"/>
      <c r="J4" s="133" t="s">
        <v>174</v>
      </c>
      <c r="K4" s="137">
        <v>44107</v>
      </c>
      <c r="L4" s="135">
        <v>1003.4</v>
      </c>
      <c r="M4" s="136"/>
      <c r="N4" s="136" t="s">
        <v>173</v>
      </c>
      <c r="O4" s="132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149999999999999" customHeight="1">
      <c r="A5" s="100">
        <v>44107</v>
      </c>
      <c r="B5" s="101" t="s">
        <v>124</v>
      </c>
      <c r="C5" s="102">
        <v>5717.8</v>
      </c>
      <c r="D5" s="122" t="s">
        <v>163</v>
      </c>
      <c r="E5" s="101"/>
      <c r="F5" s="101">
        <v>1</v>
      </c>
      <c r="G5" s="89"/>
      <c r="H5" s="89"/>
      <c r="I5" s="89"/>
      <c r="J5" s="133" t="s">
        <v>175</v>
      </c>
      <c r="K5" s="134">
        <v>44108</v>
      </c>
      <c r="L5" s="138">
        <v>2124.02</v>
      </c>
      <c r="M5" s="136"/>
      <c r="N5" s="136" t="s">
        <v>173</v>
      </c>
      <c r="O5" s="132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149999999999999" customHeight="1">
      <c r="A6" s="96">
        <v>44107</v>
      </c>
      <c r="B6" s="97" t="s">
        <v>143</v>
      </c>
      <c r="C6" s="105">
        <v>1563.51</v>
      </c>
      <c r="D6" s="121" t="s">
        <v>162</v>
      </c>
      <c r="E6" s="97"/>
      <c r="F6" s="97">
        <v>1</v>
      </c>
      <c r="G6" s="89"/>
      <c r="H6" s="89"/>
      <c r="I6" s="89"/>
      <c r="J6" s="133" t="s">
        <v>176</v>
      </c>
      <c r="K6" s="134">
        <v>44108</v>
      </c>
      <c r="L6" s="138"/>
      <c r="M6" s="136"/>
      <c r="N6" s="136" t="s">
        <v>173</v>
      </c>
      <c r="O6" s="132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149999999999999" customHeight="1">
      <c r="A7" s="96">
        <v>44109</v>
      </c>
      <c r="B7" s="97" t="s">
        <v>150</v>
      </c>
      <c r="C7" s="106">
        <v>816.12</v>
      </c>
      <c r="D7" s="123" t="s">
        <v>164</v>
      </c>
      <c r="E7" s="97"/>
      <c r="F7" s="97">
        <v>1</v>
      </c>
      <c r="G7" s="89"/>
      <c r="H7" s="89"/>
      <c r="I7" s="89"/>
      <c r="J7" s="133" t="s">
        <v>177</v>
      </c>
      <c r="K7" s="134">
        <v>44109</v>
      </c>
      <c r="L7" s="135">
        <v>945.4</v>
      </c>
      <c r="M7" s="136"/>
      <c r="N7" s="136" t="s">
        <v>173</v>
      </c>
      <c r="O7" s="132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149999999999999" customHeight="1">
      <c r="A8" s="100">
        <v>44109</v>
      </c>
      <c r="B8" s="101" t="s">
        <v>125</v>
      </c>
      <c r="C8" s="108">
        <v>220.05</v>
      </c>
      <c r="D8" s="122" t="s">
        <v>164</v>
      </c>
      <c r="E8" s="101"/>
      <c r="F8" s="101">
        <v>1</v>
      </c>
      <c r="G8" s="89"/>
      <c r="H8" s="89"/>
      <c r="I8" s="89"/>
      <c r="J8" s="133" t="s">
        <v>178</v>
      </c>
      <c r="K8" s="134">
        <v>44112</v>
      </c>
      <c r="L8" s="139">
        <v>339.35</v>
      </c>
      <c r="M8" s="140"/>
      <c r="N8" s="140" t="s">
        <v>173</v>
      </c>
      <c r="O8" s="141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149999999999999" customHeight="1">
      <c r="A9" s="100">
        <v>44111</v>
      </c>
      <c r="B9" s="101" t="s">
        <v>126</v>
      </c>
      <c r="C9" s="108">
        <v>12312.5</v>
      </c>
      <c r="D9" s="122" t="s">
        <v>165</v>
      </c>
      <c r="E9" s="101"/>
      <c r="F9" s="101">
        <v>1</v>
      </c>
      <c r="G9" s="89"/>
      <c r="H9" s="89"/>
      <c r="I9" s="89"/>
      <c r="J9" s="133" t="s">
        <v>179</v>
      </c>
      <c r="K9" s="134">
        <v>44112</v>
      </c>
      <c r="L9" s="135">
        <v>536</v>
      </c>
      <c r="M9" s="136"/>
      <c r="N9" s="136" t="s">
        <v>173</v>
      </c>
      <c r="O9" s="132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149999999999999" customHeight="1">
      <c r="A10" s="100">
        <v>44113</v>
      </c>
      <c r="B10" s="101" t="s">
        <v>129</v>
      </c>
      <c r="C10" s="104">
        <v>313.95</v>
      </c>
      <c r="D10" s="122" t="s">
        <v>165</v>
      </c>
      <c r="E10" s="101"/>
      <c r="F10" s="101">
        <v>1</v>
      </c>
      <c r="G10" s="89"/>
      <c r="H10" s="89"/>
      <c r="I10" s="89"/>
      <c r="J10" s="133" t="s">
        <v>180</v>
      </c>
      <c r="K10" s="134">
        <v>44112</v>
      </c>
      <c r="L10" s="135">
        <v>0</v>
      </c>
      <c r="M10" s="136"/>
      <c r="N10" s="136" t="s">
        <v>173</v>
      </c>
      <c r="O10" s="132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149999999999999" customHeight="1">
      <c r="A11" s="96">
        <v>44113</v>
      </c>
      <c r="B11" s="97" t="s">
        <v>130</v>
      </c>
      <c r="C11" s="108">
        <v>802.99</v>
      </c>
      <c r="D11" s="124" t="s">
        <v>166</v>
      </c>
      <c r="E11" s="97"/>
      <c r="F11" s="97">
        <v>1</v>
      </c>
      <c r="G11" s="89"/>
      <c r="H11" s="89"/>
      <c r="I11" s="89"/>
      <c r="J11" s="133" t="s">
        <v>181</v>
      </c>
      <c r="K11" s="134">
        <v>44114</v>
      </c>
      <c r="L11" s="138">
        <v>49618.75</v>
      </c>
      <c r="M11" s="136"/>
      <c r="N11" s="136" t="s">
        <v>173</v>
      </c>
      <c r="O11" s="132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149999999999999" customHeight="1">
      <c r="A12" s="100">
        <v>44113</v>
      </c>
      <c r="B12" s="101" t="s">
        <v>136</v>
      </c>
      <c r="C12" s="108">
        <v>0</v>
      </c>
      <c r="D12" s="122" t="s">
        <v>192</v>
      </c>
      <c r="E12" s="101"/>
      <c r="F12" s="101">
        <v>1</v>
      </c>
      <c r="G12" s="89"/>
      <c r="H12" s="89"/>
      <c r="I12" s="89"/>
      <c r="J12" s="133" t="s">
        <v>182</v>
      </c>
      <c r="K12" s="137">
        <v>44117</v>
      </c>
      <c r="L12" s="138">
        <v>417.6</v>
      </c>
      <c r="M12" s="136"/>
      <c r="N12" s="136"/>
      <c r="O12" s="132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149999999999999" customHeight="1">
      <c r="A13" s="100">
        <v>44120</v>
      </c>
      <c r="B13" s="101" t="s">
        <v>137</v>
      </c>
      <c r="C13" s="108">
        <v>4590.16</v>
      </c>
      <c r="D13" s="122"/>
      <c r="E13" s="101"/>
      <c r="F13" s="101"/>
      <c r="G13" s="89"/>
      <c r="H13" s="89"/>
      <c r="I13" s="89"/>
      <c r="J13" s="133" t="s">
        <v>183</v>
      </c>
      <c r="K13" s="137">
        <v>44118</v>
      </c>
      <c r="L13" s="138">
        <v>14183.54</v>
      </c>
      <c r="M13" s="136"/>
      <c r="N13" s="136"/>
      <c r="O13" s="132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149999999999999" customHeight="1">
      <c r="A14" s="96">
        <v>44125</v>
      </c>
      <c r="B14" s="97" t="s">
        <v>131</v>
      </c>
      <c r="C14" s="98">
        <v>1165.31</v>
      </c>
      <c r="D14" s="124"/>
      <c r="E14" s="97"/>
      <c r="F14" s="97"/>
      <c r="G14" s="89"/>
      <c r="H14" s="89"/>
      <c r="I14" s="89"/>
      <c r="J14" s="133" t="s">
        <v>184</v>
      </c>
      <c r="K14" s="134">
        <v>44120</v>
      </c>
      <c r="L14" s="138">
        <v>926.11</v>
      </c>
      <c r="M14" s="136"/>
      <c r="N14" s="136"/>
      <c r="O14" s="132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149999999999999" customHeight="1">
      <c r="A15" s="100">
        <v>44125</v>
      </c>
      <c r="B15" s="101" t="s">
        <v>138</v>
      </c>
      <c r="C15" s="108"/>
      <c r="D15" s="122"/>
      <c r="E15" s="101"/>
      <c r="F15" s="101"/>
      <c r="G15" s="89"/>
      <c r="H15" s="89"/>
      <c r="I15" s="89"/>
      <c r="J15" s="133" t="s">
        <v>185</v>
      </c>
      <c r="K15" s="134">
        <v>44124</v>
      </c>
      <c r="L15" s="135"/>
      <c r="M15" s="136"/>
      <c r="N15" s="136"/>
      <c r="O15" s="132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149999999999999" customHeight="1">
      <c r="A16" s="96">
        <v>44126</v>
      </c>
      <c r="B16" s="97" t="s">
        <v>132</v>
      </c>
      <c r="C16" s="98">
        <v>0</v>
      </c>
      <c r="D16" s="124"/>
      <c r="E16" s="97"/>
      <c r="F16" s="97"/>
      <c r="G16" s="89"/>
      <c r="H16" s="89"/>
      <c r="I16" s="89"/>
      <c r="J16" s="142"/>
      <c r="K16" s="143" t="s">
        <v>186</v>
      </c>
      <c r="L16" s="144">
        <f>SUMIF(N3:N15,"",L3:L15)</f>
        <v>15527.250000000002</v>
      </c>
      <c r="M16" s="145"/>
      <c r="N16" s="145"/>
      <c r="O16" s="146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149999999999999" customHeight="1">
      <c r="A17" s="100">
        <v>44127</v>
      </c>
      <c r="B17" s="101" t="s">
        <v>139</v>
      </c>
      <c r="C17" s="108"/>
      <c r="D17" s="122"/>
      <c r="E17" s="101"/>
      <c r="F17" s="101"/>
      <c r="G17" s="89"/>
      <c r="H17" s="89"/>
      <c r="I17" s="89"/>
      <c r="J17" s="142"/>
      <c r="K17" s="143" t="s">
        <v>187</v>
      </c>
      <c r="L17" s="144">
        <f>SUM(L3:L15)</f>
        <v>82447.680000000008</v>
      </c>
      <c r="M17" s="145"/>
      <c r="N17" s="145"/>
      <c r="O17" s="147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149999999999999" customHeight="1" thickBot="1">
      <c r="A18" s="96">
        <v>44127</v>
      </c>
      <c r="B18" s="97" t="s">
        <v>133</v>
      </c>
      <c r="C18" s="98">
        <v>880.76</v>
      </c>
      <c r="D18" s="124"/>
      <c r="E18" s="97"/>
      <c r="F18" s="97"/>
      <c r="G18" s="89"/>
      <c r="H18" s="89"/>
      <c r="I18" s="89"/>
      <c r="J18" s="148"/>
      <c r="K18" s="149"/>
      <c r="L18" s="150"/>
      <c r="M18" s="151"/>
      <c r="N18" s="151"/>
      <c r="O18" s="147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149999999999999" customHeight="1" thickTop="1">
      <c r="A19" s="100">
        <v>44131</v>
      </c>
      <c r="B19" s="101" t="s">
        <v>140</v>
      </c>
      <c r="C19" s="108"/>
      <c r="D19" s="122"/>
      <c r="E19" s="101"/>
      <c r="F19" s="101"/>
      <c r="G19" s="89"/>
      <c r="H19" s="89"/>
      <c r="I19" s="89"/>
      <c r="J19" s="167" t="s">
        <v>188</v>
      </c>
      <c r="K19" s="168"/>
      <c r="L19" s="168"/>
      <c r="M19" s="168"/>
      <c r="N19" s="152"/>
      <c r="O19" s="153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149999999999999" customHeight="1">
      <c r="A20" s="100">
        <v>44133</v>
      </c>
      <c r="B20" s="101" t="s">
        <v>134</v>
      </c>
      <c r="C20" s="108"/>
      <c r="D20" s="122"/>
      <c r="E20" s="101"/>
      <c r="F20" s="101"/>
      <c r="G20" s="89"/>
      <c r="H20" s="89"/>
      <c r="I20" s="89"/>
      <c r="J20" s="154" t="s">
        <v>189</v>
      </c>
      <c r="K20" s="155"/>
      <c r="L20" s="155"/>
      <c r="M20" s="156"/>
      <c r="N20" s="157"/>
      <c r="O20" s="153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149999999999999" customHeight="1" thickBot="1">
      <c r="A21" s="100">
        <v>44134</v>
      </c>
      <c r="B21" s="101" t="s">
        <v>141</v>
      </c>
      <c r="C21" s="108"/>
      <c r="D21" s="122"/>
      <c r="E21" s="101"/>
      <c r="F21" s="101"/>
      <c r="G21" s="89"/>
      <c r="H21" s="89"/>
      <c r="I21" s="89"/>
      <c r="J21" s="169" t="s">
        <v>190</v>
      </c>
      <c r="K21" s="170"/>
      <c r="L21" s="170"/>
      <c r="M21" s="170"/>
      <c r="N21" s="158"/>
      <c r="O21" s="153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149999999999999" customHeight="1" thickTop="1">
      <c r="A22" s="96"/>
      <c r="B22" s="97" t="s">
        <v>146</v>
      </c>
      <c r="C22" s="98">
        <f>SUM(C3:C21)</f>
        <v>28591.390000000003</v>
      </c>
      <c r="D22" s="124"/>
      <c r="E22" s="97"/>
      <c r="F22" s="97"/>
      <c r="G22" s="89"/>
      <c r="H22" s="89"/>
      <c r="I22" s="89"/>
      <c r="J22" s="127" t="s">
        <v>191</v>
      </c>
      <c r="K22" s="159"/>
      <c r="L22" s="160"/>
      <c r="M22" s="161"/>
      <c r="N22" s="161"/>
      <c r="O22" s="127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149999999999999" customHeight="1">
      <c r="A23" s="96"/>
      <c r="B23" s="97" t="s">
        <v>147</v>
      </c>
      <c r="C23" s="125">
        <f>SUMIF(F3:F21,"",C3:C21)</f>
        <v>6636.23</v>
      </c>
      <c r="D23" s="124"/>
      <c r="E23" s="97"/>
      <c r="F23" s="97"/>
      <c r="G23" s="89"/>
      <c r="H23" s="89"/>
      <c r="I23" s="89"/>
      <c r="J23" s="162"/>
      <c r="K23" s="159"/>
      <c r="L23" s="160"/>
      <c r="M23" s="161"/>
      <c r="N23" s="161"/>
      <c r="O23" s="127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9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9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9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9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9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9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9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9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9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9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9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9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9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9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9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9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9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9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9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9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9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9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9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9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9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9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9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9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9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9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9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9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9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9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9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9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9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9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9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9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9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9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9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9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9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9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9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9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9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9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9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9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9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9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9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9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9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9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9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9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9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9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9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9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9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9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9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9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9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9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9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9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9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9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9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9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9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9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9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9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9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9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9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9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9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9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9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9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9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9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9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9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9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9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9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9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9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9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9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9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9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9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9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9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9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9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9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9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9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9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9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9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9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9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9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9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9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9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9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9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9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9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9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9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9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9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9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9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9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9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9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9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9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9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9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9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9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9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9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9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9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9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9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9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9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9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9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9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9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9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9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9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9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9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9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9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9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9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9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9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9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9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9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9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9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9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9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9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9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9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9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9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9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3">
    <mergeCell ref="A1:E1"/>
    <mergeCell ref="J19:M19"/>
    <mergeCell ref="J21:M21"/>
  </mergeCells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29E22-2D89-4C5D-9BA6-71160CF8E456}">
  <dimension ref="A1:Z196"/>
  <sheetViews>
    <sheetView showGridLines="0" zoomScaleNormal="100" zoomScaleSheetLayoutView="100" workbookViewId="0">
      <pane ySplit="2" topLeftCell="A4" activePane="bottomLeft" state="frozen"/>
      <selection pane="bottomLeft" activeCell="F22" sqref="F22"/>
    </sheetView>
  </sheetViews>
  <sheetFormatPr defaultColWidth="8.75" defaultRowHeight="14.25"/>
  <cols>
    <col min="1" max="1" width="8.875" style="91" bestFit="1" customWidth="1"/>
    <col min="2" max="2" width="10.75" style="91" bestFit="1" customWidth="1"/>
    <col min="3" max="3" width="8" style="91" bestFit="1" customWidth="1"/>
    <col min="4" max="4" width="8.25" style="123" bestFit="1" customWidth="1"/>
    <col min="5" max="5" width="4.375" style="91" bestFit="1" customWidth="1"/>
    <col min="6" max="6" width="9.125" style="118" customWidth="1"/>
    <col min="7" max="19" width="9.125" style="116" customWidth="1"/>
    <col min="20" max="25" width="9.125" style="91" customWidth="1"/>
    <col min="26" max="16384" width="8.75" style="91"/>
  </cols>
  <sheetData>
    <row r="1" spans="1:26" ht="21.6" customHeight="1">
      <c r="A1" s="165" t="s">
        <v>153</v>
      </c>
      <c r="B1" s="166"/>
      <c r="C1" s="166"/>
      <c r="D1" s="166"/>
      <c r="E1" s="166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149999999999999" customHeight="1">
      <c r="A2" s="92" t="s">
        <v>83</v>
      </c>
      <c r="B2" s="93" t="s">
        <v>3</v>
      </c>
      <c r="C2" s="94" t="s">
        <v>144</v>
      </c>
      <c r="D2" s="120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149999999999999" customHeight="1">
      <c r="A3" s="96">
        <v>44075</v>
      </c>
      <c r="B3" s="97" t="s">
        <v>127</v>
      </c>
      <c r="C3" s="98">
        <v>5</v>
      </c>
      <c r="D3" s="121">
        <v>8.31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149999999999999" customHeight="1">
      <c r="A4" s="96">
        <v>44076</v>
      </c>
      <c r="B4" s="97" t="s">
        <v>142</v>
      </c>
      <c r="C4" s="98">
        <v>647.41999999999996</v>
      </c>
      <c r="D4" s="121" t="s">
        <v>149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149999999999999" customHeight="1">
      <c r="A5" s="100">
        <v>44077</v>
      </c>
      <c r="B5" s="101" t="s">
        <v>124</v>
      </c>
      <c r="C5" s="102">
        <v>3654.24</v>
      </c>
      <c r="D5" s="122" t="s">
        <v>152</v>
      </c>
      <c r="E5" s="101"/>
      <c r="F5" s="101">
        <v>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149999999999999" customHeight="1">
      <c r="A6" s="96">
        <v>44077</v>
      </c>
      <c r="B6" s="97" t="s">
        <v>143</v>
      </c>
      <c r="C6" s="105">
        <v>2045.45</v>
      </c>
      <c r="D6" s="121" t="s">
        <v>151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149999999999999" customHeight="1">
      <c r="A7" s="96">
        <v>44079</v>
      </c>
      <c r="B7" s="97" t="s">
        <v>150</v>
      </c>
      <c r="C7" s="106">
        <v>0</v>
      </c>
      <c r="D7" s="123" t="s">
        <v>151</v>
      </c>
      <c r="E7" s="97"/>
      <c r="F7" s="97">
        <v>1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149999999999999" customHeight="1">
      <c r="A8" s="100">
        <v>44079</v>
      </c>
      <c r="B8" s="101" t="s">
        <v>125</v>
      </c>
      <c r="C8" s="108">
        <v>64.27</v>
      </c>
      <c r="D8" s="122" t="s">
        <v>152</v>
      </c>
      <c r="E8" s="101"/>
      <c r="F8" s="101">
        <v>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149999999999999" customHeight="1">
      <c r="A9" s="100">
        <v>44081</v>
      </c>
      <c r="B9" s="101" t="s">
        <v>126</v>
      </c>
      <c r="C9" s="108">
        <v>0</v>
      </c>
      <c r="D9" s="122" t="s">
        <v>152</v>
      </c>
      <c r="E9" s="101"/>
      <c r="F9" s="101">
        <v>1</v>
      </c>
      <c r="G9" s="89"/>
      <c r="H9" s="89"/>
      <c r="I9" s="89"/>
      <c r="J9" s="89"/>
      <c r="K9" s="89" t="s">
        <v>154</v>
      </c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149999999999999" customHeight="1">
      <c r="A10" s="100">
        <v>44083</v>
      </c>
      <c r="B10" s="101" t="s">
        <v>129</v>
      </c>
      <c r="C10" s="108"/>
      <c r="D10" s="122" t="s">
        <v>151</v>
      </c>
      <c r="E10" s="101"/>
      <c r="F10" s="101">
        <v>1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149999999999999" customHeight="1">
      <c r="A11" s="96">
        <v>44083</v>
      </c>
      <c r="B11" s="97" t="s">
        <v>130</v>
      </c>
      <c r="C11" s="98"/>
      <c r="D11" s="124" t="s">
        <v>151</v>
      </c>
      <c r="E11" s="97"/>
      <c r="F11" s="97">
        <v>1</v>
      </c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149999999999999" customHeight="1">
      <c r="A12" s="100">
        <v>44083</v>
      </c>
      <c r="B12" s="101" t="s">
        <v>136</v>
      </c>
      <c r="C12" s="108">
        <v>10</v>
      </c>
      <c r="D12" s="122" t="s">
        <v>152</v>
      </c>
      <c r="E12" s="101"/>
      <c r="F12" s="101">
        <v>1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149999999999999" customHeight="1">
      <c r="A13" s="100">
        <v>44090</v>
      </c>
      <c r="B13" s="101" t="s">
        <v>137</v>
      </c>
      <c r="C13" s="108">
        <v>2303.83</v>
      </c>
      <c r="D13" s="122" t="s">
        <v>155</v>
      </c>
      <c r="E13" s="101"/>
      <c r="F13" s="101">
        <v>1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149999999999999" customHeight="1">
      <c r="A14" s="96">
        <v>44095</v>
      </c>
      <c r="B14" s="97" t="s">
        <v>131</v>
      </c>
      <c r="C14" s="98">
        <v>1476.35</v>
      </c>
      <c r="D14" s="124" t="s">
        <v>156</v>
      </c>
      <c r="E14" s="97"/>
      <c r="F14" s="97">
        <v>1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149999999999999" customHeight="1">
      <c r="A15" s="100">
        <v>44095</v>
      </c>
      <c r="B15" s="101" t="s">
        <v>138</v>
      </c>
      <c r="C15" s="108">
        <v>0</v>
      </c>
      <c r="D15" s="122" t="s">
        <v>157</v>
      </c>
      <c r="E15" s="101"/>
      <c r="F15" s="101">
        <v>1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149999999999999" customHeight="1">
      <c r="A16" s="96">
        <v>44096</v>
      </c>
      <c r="B16" s="97" t="s">
        <v>132</v>
      </c>
      <c r="C16" s="98">
        <v>0</v>
      </c>
      <c r="D16" s="124" t="s">
        <v>157</v>
      </c>
      <c r="E16" s="97"/>
      <c r="F16" s="97">
        <v>1</v>
      </c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149999999999999" customHeight="1">
      <c r="A17" s="100">
        <v>44097</v>
      </c>
      <c r="B17" s="101" t="s">
        <v>139</v>
      </c>
      <c r="C17" s="108">
        <v>10</v>
      </c>
      <c r="D17" s="122" t="s">
        <v>157</v>
      </c>
      <c r="E17" s="101"/>
      <c r="F17" s="101">
        <v>1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149999999999999" customHeight="1">
      <c r="A18" s="96">
        <v>44097</v>
      </c>
      <c r="B18" s="97" t="s">
        <v>133</v>
      </c>
      <c r="C18" s="98">
        <v>378.4</v>
      </c>
      <c r="D18" s="124" t="s">
        <v>157</v>
      </c>
      <c r="E18" s="97"/>
      <c r="F18" s="97">
        <v>1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149999999999999" customHeight="1">
      <c r="A19" s="100">
        <v>44101</v>
      </c>
      <c r="B19" s="101" t="s">
        <v>140</v>
      </c>
      <c r="C19" s="108">
        <v>327.99</v>
      </c>
      <c r="D19" s="122" t="s">
        <v>158</v>
      </c>
      <c r="E19" s="101"/>
      <c r="F19" s="101">
        <v>1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149999999999999" customHeight="1">
      <c r="A20" s="100">
        <v>44103</v>
      </c>
      <c r="B20" s="101" t="s">
        <v>134</v>
      </c>
      <c r="C20" s="108">
        <v>0</v>
      </c>
      <c r="D20" s="122" t="s">
        <v>157</v>
      </c>
      <c r="E20" s="101"/>
      <c r="F20" s="101">
        <v>1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149999999999999" customHeight="1">
      <c r="A21" s="100">
        <v>44104</v>
      </c>
      <c r="B21" s="101" t="s">
        <v>141</v>
      </c>
      <c r="C21" s="108">
        <v>849.37</v>
      </c>
      <c r="D21" s="122" t="s">
        <v>159</v>
      </c>
      <c r="E21" s="101"/>
      <c r="F21" s="101">
        <v>1</v>
      </c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149999999999999" customHeight="1">
      <c r="A22" s="96"/>
      <c r="B22" s="97" t="s">
        <v>146</v>
      </c>
      <c r="C22" s="98">
        <f>SUM(C3:C21)</f>
        <v>11772.32</v>
      </c>
      <c r="D22" s="124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149999999999999" customHeight="1">
      <c r="A23" s="96"/>
      <c r="B23" s="97" t="s">
        <v>147</v>
      </c>
      <c r="C23" s="125">
        <f>SUMIF(F3:F21,"",C3:C21)</f>
        <v>0</v>
      </c>
      <c r="D23" s="124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9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9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9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9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9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9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9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9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9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9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9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9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9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9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9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9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9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9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9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9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9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9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9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9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9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9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9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9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9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9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9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9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9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9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9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9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9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9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9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9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9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9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9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9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9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9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9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9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9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9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9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9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9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9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9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9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9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9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9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9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9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9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9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9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9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9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9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9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9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9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9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9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9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9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9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9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9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9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9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9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9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9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9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9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9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9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9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9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9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9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9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9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9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9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9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9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9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9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9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9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9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9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9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9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9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9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9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9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9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9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9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9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9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9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9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9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9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9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9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9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9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9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9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9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9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9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9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9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9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9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9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9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9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9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9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9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9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9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9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9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9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9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9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9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9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9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9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9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9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9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9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9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9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9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9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9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9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9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9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9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9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9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9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9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9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9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9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9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9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9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9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9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9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D9540-95BA-4743-BFC5-E382008667EC}">
  <dimension ref="A1:Z196"/>
  <sheetViews>
    <sheetView showGridLines="0" zoomScaleNormal="100" zoomScaleSheetLayoutView="100" workbookViewId="0">
      <pane ySplit="2" topLeftCell="A6" activePane="bottomLeft" state="frozen"/>
      <selection pane="bottomLeft" activeCell="C26" sqref="C26"/>
    </sheetView>
  </sheetViews>
  <sheetFormatPr defaultColWidth="8.75" defaultRowHeight="14.25"/>
  <cols>
    <col min="1" max="1" width="8.875" style="91" bestFit="1" customWidth="1"/>
    <col min="2" max="2" width="10.75" style="91" bestFit="1" customWidth="1"/>
    <col min="3" max="3" width="8" style="91" bestFit="1" customWidth="1"/>
    <col min="4" max="4" width="8.25" style="107" bestFit="1" customWidth="1"/>
    <col min="5" max="5" width="4.375" style="91" bestFit="1" customWidth="1"/>
    <col min="6" max="6" width="9.125" style="118" customWidth="1"/>
    <col min="7" max="19" width="9.125" style="116" customWidth="1"/>
    <col min="20" max="25" width="9.125" style="91" customWidth="1"/>
    <col min="26" max="16384" width="8.75" style="91"/>
  </cols>
  <sheetData>
    <row r="1" spans="1:26" ht="21.6" customHeight="1">
      <c r="A1" s="165" t="s">
        <v>135</v>
      </c>
      <c r="B1" s="166"/>
      <c r="C1" s="166"/>
      <c r="D1" s="166"/>
      <c r="E1" s="166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149999999999999" customHeight="1">
      <c r="A2" s="92" t="s">
        <v>83</v>
      </c>
      <c r="B2" s="93" t="s">
        <v>3</v>
      </c>
      <c r="C2" s="94" t="s">
        <v>144</v>
      </c>
      <c r="D2" s="95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149999999999999" customHeight="1">
      <c r="A3" s="96">
        <v>44044</v>
      </c>
      <c r="B3" s="97" t="s">
        <v>127</v>
      </c>
      <c r="C3" s="98">
        <v>0</v>
      </c>
      <c r="D3" s="99">
        <v>44046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149999999999999" customHeight="1">
      <c r="A4" s="96">
        <v>44045</v>
      </c>
      <c r="B4" s="97" t="s">
        <v>142</v>
      </c>
      <c r="C4" s="98">
        <v>321.7</v>
      </c>
      <c r="D4" s="99">
        <v>44044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149999999999999" customHeight="1">
      <c r="A5" s="100">
        <v>44046</v>
      </c>
      <c r="B5" s="101" t="s">
        <v>124</v>
      </c>
      <c r="C5" s="102">
        <v>3519.77</v>
      </c>
      <c r="D5" s="103">
        <v>44046</v>
      </c>
      <c r="E5" s="101"/>
      <c r="F5" s="101">
        <v>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149999999999999" customHeight="1">
      <c r="A6" s="96">
        <v>44046</v>
      </c>
      <c r="B6" s="97" t="s">
        <v>143</v>
      </c>
      <c r="C6" s="105">
        <v>880.69</v>
      </c>
      <c r="D6" s="99">
        <v>44046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149999999999999" customHeight="1">
      <c r="A7" s="96">
        <v>44048</v>
      </c>
      <c r="B7" s="97" t="s">
        <v>128</v>
      </c>
      <c r="C7" s="106">
        <v>0</v>
      </c>
      <c r="D7" s="107">
        <v>44047</v>
      </c>
      <c r="E7" s="97"/>
      <c r="F7" s="97">
        <v>1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149999999999999" customHeight="1">
      <c r="A8" s="100">
        <v>44048</v>
      </c>
      <c r="B8" s="101" t="s">
        <v>125</v>
      </c>
      <c r="C8" s="108">
        <v>1192.1300000000001</v>
      </c>
      <c r="D8" s="109">
        <v>44047</v>
      </c>
      <c r="E8" s="101"/>
      <c r="F8" s="101">
        <v>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149999999999999" customHeight="1">
      <c r="A9" s="100">
        <v>44050</v>
      </c>
      <c r="B9" s="101" t="s">
        <v>126</v>
      </c>
      <c r="C9" s="108">
        <v>0</v>
      </c>
      <c r="D9" s="109">
        <v>44050</v>
      </c>
      <c r="E9" s="101"/>
      <c r="F9" s="101">
        <v>1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149999999999999" customHeight="1">
      <c r="A10" s="100">
        <v>44052</v>
      </c>
      <c r="B10" s="101" t="s">
        <v>129</v>
      </c>
      <c r="C10" s="108">
        <v>87.65</v>
      </c>
      <c r="D10" s="109">
        <v>44052</v>
      </c>
      <c r="E10" s="101"/>
      <c r="F10" s="101">
        <v>1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149999999999999" customHeight="1">
      <c r="A11" s="96">
        <v>44052</v>
      </c>
      <c r="B11" s="97" t="s">
        <v>130</v>
      </c>
      <c r="C11" s="98"/>
      <c r="D11" s="110">
        <v>44050</v>
      </c>
      <c r="E11" s="97"/>
      <c r="F11" s="97">
        <v>1</v>
      </c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149999999999999" customHeight="1">
      <c r="A12" s="100">
        <v>44052</v>
      </c>
      <c r="B12" s="101" t="s">
        <v>136</v>
      </c>
      <c r="C12" s="108">
        <v>0</v>
      </c>
      <c r="D12" s="103">
        <v>44065</v>
      </c>
      <c r="E12" s="101"/>
      <c r="F12" s="101">
        <v>1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149999999999999" customHeight="1">
      <c r="A13" s="100">
        <v>44059</v>
      </c>
      <c r="B13" s="101" t="s">
        <v>137</v>
      </c>
      <c r="C13" s="108">
        <v>7191.62</v>
      </c>
      <c r="D13" s="103">
        <v>44065</v>
      </c>
      <c r="E13" s="101"/>
      <c r="F13" s="101">
        <v>1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149999999999999" customHeight="1">
      <c r="A14" s="96">
        <v>44064</v>
      </c>
      <c r="B14" s="97" t="s">
        <v>131</v>
      </c>
      <c r="C14" s="98"/>
      <c r="D14" s="111">
        <v>44065</v>
      </c>
      <c r="E14" s="97"/>
      <c r="F14" s="97">
        <v>1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149999999999999" customHeight="1">
      <c r="A15" s="100">
        <v>44064</v>
      </c>
      <c r="B15" s="101" t="s">
        <v>138</v>
      </c>
      <c r="C15" s="108">
        <v>0</v>
      </c>
      <c r="D15" s="103">
        <v>44065</v>
      </c>
      <c r="E15" s="101"/>
      <c r="F15" s="101">
        <v>1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149999999999999" customHeight="1">
      <c r="A16" s="96">
        <v>44065</v>
      </c>
      <c r="B16" s="97" t="s">
        <v>132</v>
      </c>
      <c r="C16" s="98"/>
      <c r="D16" s="110">
        <v>44065</v>
      </c>
      <c r="E16" s="97"/>
      <c r="F16" s="97">
        <v>1</v>
      </c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149999999999999" customHeight="1">
      <c r="A17" s="100">
        <v>44066</v>
      </c>
      <c r="B17" s="101" t="s">
        <v>139</v>
      </c>
      <c r="C17" s="108">
        <v>608.1</v>
      </c>
      <c r="D17" s="103">
        <v>44065</v>
      </c>
      <c r="E17" s="101"/>
      <c r="F17" s="101">
        <v>1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149999999999999" customHeight="1">
      <c r="A18" s="96">
        <v>44066</v>
      </c>
      <c r="B18" s="97" t="s">
        <v>133</v>
      </c>
      <c r="C18" s="98"/>
      <c r="D18" s="110">
        <v>44065</v>
      </c>
      <c r="E18" s="97"/>
      <c r="F18" s="97">
        <v>1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149999999999999" customHeight="1">
      <c r="A19" s="100">
        <v>44070</v>
      </c>
      <c r="B19" s="101" t="s">
        <v>140</v>
      </c>
      <c r="C19" s="108">
        <v>162.38999999999999</v>
      </c>
      <c r="D19" s="103"/>
      <c r="E19" s="101"/>
      <c r="F19" s="101">
        <v>1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149999999999999" customHeight="1">
      <c r="A20" s="100">
        <v>44072</v>
      </c>
      <c r="B20" s="101" t="s">
        <v>134</v>
      </c>
      <c r="C20" s="108">
        <v>37.869999999999997</v>
      </c>
      <c r="D20" s="109">
        <v>44065</v>
      </c>
      <c r="E20" s="101"/>
      <c r="F20" s="101">
        <v>1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149999999999999" customHeight="1">
      <c r="A21" s="100">
        <v>44073</v>
      </c>
      <c r="B21" s="101" t="s">
        <v>141</v>
      </c>
      <c r="C21" s="108">
        <v>464.28</v>
      </c>
      <c r="D21" s="103">
        <v>44071</v>
      </c>
      <c r="E21" s="101"/>
      <c r="F21" s="101">
        <v>1</v>
      </c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149999999999999" customHeight="1">
      <c r="A22" s="96"/>
      <c r="B22" s="97" t="s">
        <v>146</v>
      </c>
      <c r="C22" s="98">
        <f>SUM(C3:C21)</f>
        <v>14466.2</v>
      </c>
      <c r="D22" s="111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149999999999999" customHeight="1">
      <c r="A23" s="96"/>
      <c r="B23" s="97" t="s">
        <v>147</v>
      </c>
      <c r="C23" s="98">
        <f>SUMIF(F3:F21,"",C3:C21)</f>
        <v>0</v>
      </c>
      <c r="D23" s="111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2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4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4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4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4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4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4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4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4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4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4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4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4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4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4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4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4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4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4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4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4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4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4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4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4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4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4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4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4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4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4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4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4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4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4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4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4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4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4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4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4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4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4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4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4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4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4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4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4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4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4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4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4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4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4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4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4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4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4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4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4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4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4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4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4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4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4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4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4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4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4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4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4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4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4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4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4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4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4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4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4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4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4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4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4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4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4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4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4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4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4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4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4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4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4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4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4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4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4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4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4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4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4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4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4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4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4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4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4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4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4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4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4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4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4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4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4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4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4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4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4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4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4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4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4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4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4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4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4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4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4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4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4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4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4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4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4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4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4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4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4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4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4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4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4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4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4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4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4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4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4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4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4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4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4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4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4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4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4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4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4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4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4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4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4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4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4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4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4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4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4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4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4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96"/>
  <sheetViews>
    <sheetView showGridLines="0" zoomScaleNormal="100" zoomScaleSheetLayoutView="100" workbookViewId="0">
      <pane ySplit="2" topLeftCell="A3" activePane="bottomLeft" state="frozen"/>
      <selection pane="bottomLeft" activeCell="D5" sqref="D5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4" width="12.625" bestFit="1" customWidth="1"/>
    <col min="5" max="5" width="11.375" style="88" customWidth="1"/>
    <col min="6" max="6" width="6.25" customWidth="1"/>
    <col min="7" max="26" width="9.125" customWidth="1"/>
  </cols>
  <sheetData>
    <row r="1" spans="1:26" ht="27.75">
      <c r="A1" s="171" t="s">
        <v>123</v>
      </c>
      <c r="B1" s="172"/>
      <c r="C1" s="172"/>
      <c r="D1" s="172"/>
      <c r="E1" s="172"/>
      <c r="F1" s="17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2" t="s">
        <v>1</v>
      </c>
      <c r="B2" s="3" t="s">
        <v>2</v>
      </c>
      <c r="C2" s="3" t="s">
        <v>3</v>
      </c>
      <c r="D2" s="4" t="s">
        <v>4</v>
      </c>
      <c r="E2" s="84" t="s">
        <v>5</v>
      </c>
      <c r="F2" s="3" t="s">
        <v>6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8.75" customHeight="1">
      <c r="A3" s="7">
        <v>44013</v>
      </c>
      <c r="B3" s="8" t="s">
        <v>7</v>
      </c>
      <c r="C3" s="8" t="s">
        <v>8</v>
      </c>
      <c r="D3" s="9">
        <v>0</v>
      </c>
      <c r="E3" s="10">
        <v>44014</v>
      </c>
      <c r="F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8.75" customHeight="1">
      <c r="A4" s="7">
        <v>44014</v>
      </c>
      <c r="B4" s="8" t="s">
        <v>7</v>
      </c>
      <c r="C4" s="8" t="s">
        <v>9</v>
      </c>
      <c r="D4" s="9">
        <v>520.72</v>
      </c>
      <c r="E4" s="10">
        <v>44014</v>
      </c>
      <c r="F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8.75" customHeight="1">
      <c r="A5" s="7">
        <v>44015</v>
      </c>
      <c r="B5" s="8" t="s">
        <v>10</v>
      </c>
      <c r="C5" s="8" t="s">
        <v>11</v>
      </c>
      <c r="D5" s="12">
        <v>6214.41</v>
      </c>
      <c r="E5" s="10">
        <v>44014</v>
      </c>
      <c r="F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8.75" customHeight="1">
      <c r="A6" s="7">
        <v>44015</v>
      </c>
      <c r="B6" s="8" t="s">
        <v>7</v>
      </c>
      <c r="C6" s="8" t="s">
        <v>12</v>
      </c>
      <c r="D6" s="13">
        <v>9010.25</v>
      </c>
      <c r="E6" s="10">
        <v>44016</v>
      </c>
      <c r="F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8.75" customHeight="1">
      <c r="A7" s="7">
        <v>44017</v>
      </c>
      <c r="B7" s="8" t="s">
        <v>7</v>
      </c>
      <c r="C7" s="8" t="s">
        <v>13</v>
      </c>
      <c r="D7" s="12">
        <v>0</v>
      </c>
      <c r="E7" s="10">
        <v>44016</v>
      </c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8.75" customHeight="1">
      <c r="A8" s="7">
        <v>44017</v>
      </c>
      <c r="B8" s="8" t="s">
        <v>10</v>
      </c>
      <c r="C8" s="8" t="s">
        <v>13</v>
      </c>
      <c r="D8" s="12">
        <v>0</v>
      </c>
      <c r="E8" s="10">
        <v>44016</v>
      </c>
      <c r="F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8.75" customHeight="1">
      <c r="A9" s="7">
        <v>44019</v>
      </c>
      <c r="B9" s="8" t="s">
        <v>10</v>
      </c>
      <c r="C9" s="8" t="s">
        <v>14</v>
      </c>
      <c r="D9" s="13">
        <v>3314.42</v>
      </c>
      <c r="E9" s="10">
        <v>44019</v>
      </c>
      <c r="F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8.75" customHeight="1">
      <c r="A10" s="7">
        <v>44021</v>
      </c>
      <c r="B10" s="8" t="s">
        <v>10</v>
      </c>
      <c r="C10" s="8" t="s">
        <v>15</v>
      </c>
      <c r="D10" s="9"/>
      <c r="E10" s="14">
        <v>44014</v>
      </c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8.75" customHeight="1">
      <c r="A11" s="7">
        <v>44021</v>
      </c>
      <c r="B11" s="8" t="s">
        <v>7</v>
      </c>
      <c r="C11" s="8" t="s">
        <v>15</v>
      </c>
      <c r="D11" s="9"/>
      <c r="E11" s="15">
        <v>44018</v>
      </c>
      <c r="F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8.75" customHeight="1">
      <c r="A12" s="7">
        <v>44021</v>
      </c>
      <c r="B12" s="8" t="s">
        <v>10</v>
      </c>
      <c r="C12" s="8" t="s">
        <v>16</v>
      </c>
      <c r="D12" s="9">
        <v>0</v>
      </c>
      <c r="E12" s="15">
        <v>44023</v>
      </c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8.75" customHeight="1">
      <c r="A13" s="7">
        <v>44028</v>
      </c>
      <c r="B13" s="8" t="s">
        <v>10</v>
      </c>
      <c r="C13" s="8" t="s">
        <v>17</v>
      </c>
      <c r="D13" s="9">
        <v>13130</v>
      </c>
      <c r="E13" s="15">
        <v>44028</v>
      </c>
      <c r="F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8.75" customHeight="1">
      <c r="A14" s="7">
        <v>44033</v>
      </c>
      <c r="B14" s="8" t="s">
        <v>18</v>
      </c>
      <c r="C14" s="8" t="s">
        <v>11</v>
      </c>
      <c r="D14" s="9">
        <v>1751.8</v>
      </c>
      <c r="E14" s="14">
        <v>44033</v>
      </c>
      <c r="F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8.75" customHeight="1">
      <c r="A15" s="7">
        <v>44033</v>
      </c>
      <c r="B15" s="8" t="s">
        <v>10</v>
      </c>
      <c r="C15" s="8" t="s">
        <v>19</v>
      </c>
      <c r="D15" s="9">
        <v>2220</v>
      </c>
      <c r="E15" s="15">
        <v>44033</v>
      </c>
      <c r="F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8.75" customHeight="1">
      <c r="A16" s="7">
        <v>44034</v>
      </c>
      <c r="B16" s="8" t="s">
        <v>7</v>
      </c>
      <c r="C16" s="8" t="s">
        <v>20</v>
      </c>
      <c r="D16" s="9">
        <v>0</v>
      </c>
      <c r="E16" s="15">
        <v>44035</v>
      </c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8.75" customHeight="1">
      <c r="A17" s="7">
        <v>44035</v>
      </c>
      <c r="B17" s="8" t="s">
        <v>10</v>
      </c>
      <c r="C17" s="8" t="s">
        <v>21</v>
      </c>
      <c r="D17" s="9">
        <v>3681.7</v>
      </c>
      <c r="E17" s="15">
        <v>44035</v>
      </c>
      <c r="F17" s="8"/>
      <c r="G17" s="11"/>
      <c r="H17" s="11"/>
      <c r="I17" s="16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8.75" customHeight="1">
      <c r="A18" s="7">
        <v>44035</v>
      </c>
      <c r="B18" s="8" t="s">
        <v>22</v>
      </c>
      <c r="C18" s="8" t="s">
        <v>14</v>
      </c>
      <c r="D18" s="9">
        <v>1435.99</v>
      </c>
      <c r="E18" s="15">
        <v>44037</v>
      </c>
      <c r="F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8.75" customHeight="1">
      <c r="A19" s="7">
        <v>44039</v>
      </c>
      <c r="B19" s="8" t="s">
        <v>10</v>
      </c>
      <c r="C19" s="8" t="s">
        <v>9</v>
      </c>
      <c r="D19" s="9">
        <v>288.98</v>
      </c>
      <c r="E19" s="15">
        <v>44038</v>
      </c>
      <c r="F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8.75" customHeight="1">
      <c r="A20" s="7">
        <v>44041</v>
      </c>
      <c r="B20" s="8" t="s">
        <v>122</v>
      </c>
      <c r="C20" s="8" t="s">
        <v>24</v>
      </c>
      <c r="D20" s="9">
        <v>0</v>
      </c>
      <c r="E20" s="14">
        <v>44038</v>
      </c>
      <c r="F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8.75" customHeight="1">
      <c r="A21" s="7">
        <v>44042</v>
      </c>
      <c r="B21" s="8" t="s">
        <v>25</v>
      </c>
      <c r="C21" s="8" t="s">
        <v>26</v>
      </c>
      <c r="D21" s="9">
        <v>924.47</v>
      </c>
      <c r="E21" s="15">
        <v>44041</v>
      </c>
      <c r="F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8.75" customHeight="1">
      <c r="A22" s="17"/>
      <c r="B22" s="18"/>
      <c r="C22" s="18"/>
      <c r="D22" s="19">
        <f>SUM(D3:D21)</f>
        <v>42492.740000000005</v>
      </c>
      <c r="E22" s="85"/>
      <c r="F22" s="18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ht="22.5" customHeight="1">
      <c r="A23" s="16"/>
      <c r="B23" s="16"/>
      <c r="C23" s="16"/>
      <c r="D23" s="16"/>
      <c r="E23" s="86"/>
      <c r="F23" s="16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22.5" customHeight="1">
      <c r="A24" s="16"/>
      <c r="B24" s="16"/>
      <c r="C24" s="16"/>
      <c r="D24" s="16"/>
      <c r="E24" s="86"/>
      <c r="F24" s="16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18.75" customHeight="1">
      <c r="A25" s="22"/>
      <c r="B25" s="23"/>
      <c r="C25" s="23"/>
      <c r="D25" s="24"/>
      <c r="E25" s="80"/>
      <c r="F25" s="23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spans="1:26" ht="15.75">
      <c r="A26" s="26"/>
      <c r="B26" s="16"/>
      <c r="C26" s="16"/>
      <c r="D26" s="27"/>
      <c r="E26" s="87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 ht="15.75">
      <c r="A27" s="26"/>
      <c r="B27" s="16"/>
      <c r="C27" s="16"/>
      <c r="D27" s="27"/>
      <c r="E27" s="87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 ht="15.75">
      <c r="A28" s="26"/>
      <c r="B28" s="16"/>
      <c r="C28" s="16"/>
      <c r="D28" s="27"/>
      <c r="E28" s="87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 ht="15.75">
      <c r="A29" s="26"/>
      <c r="B29" s="16"/>
      <c r="C29" s="16"/>
      <c r="D29" s="27"/>
      <c r="E29" s="87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 ht="15.75">
      <c r="A30" s="26"/>
      <c r="B30" s="16"/>
      <c r="C30" s="16"/>
      <c r="D30" s="27"/>
      <c r="E30" s="87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 ht="15.75">
      <c r="A31" s="26"/>
      <c r="B31" s="16"/>
      <c r="C31" s="16"/>
      <c r="D31" s="27"/>
      <c r="E31" s="87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 ht="15.75">
      <c r="A32" s="26"/>
      <c r="B32" s="16"/>
      <c r="C32" s="16"/>
      <c r="D32" s="27"/>
      <c r="E32" s="87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 ht="15.75">
      <c r="A33" s="26"/>
      <c r="B33" s="16"/>
      <c r="C33" s="16"/>
      <c r="D33" s="27"/>
      <c r="E33" s="87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 ht="15.75">
      <c r="A34" s="26"/>
      <c r="B34" s="16"/>
      <c r="C34" s="16"/>
      <c r="D34" s="27"/>
      <c r="E34" s="87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 ht="15.75">
      <c r="A35" s="26"/>
      <c r="B35" s="16"/>
      <c r="C35" s="16"/>
      <c r="D35" s="27"/>
      <c r="E35" s="87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 ht="15.75">
      <c r="A36" s="26"/>
      <c r="B36" s="16"/>
      <c r="C36" s="16"/>
      <c r="D36" s="27"/>
      <c r="E36" s="87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 ht="15.75">
      <c r="A37" s="26"/>
      <c r="B37" s="16"/>
      <c r="C37" s="16"/>
      <c r="D37" s="27"/>
      <c r="E37" s="87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 ht="15.75">
      <c r="A38" s="26"/>
      <c r="B38" s="16"/>
      <c r="C38" s="16"/>
      <c r="D38" s="27"/>
      <c r="E38" s="87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 ht="15.75">
      <c r="A39" s="26"/>
      <c r="B39" s="16"/>
      <c r="C39" s="16"/>
      <c r="D39" s="27"/>
      <c r="E39" s="87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 ht="15.75">
      <c r="A40" s="26"/>
      <c r="B40" s="16"/>
      <c r="C40" s="16"/>
      <c r="D40" s="27"/>
      <c r="E40" s="87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 ht="15.75">
      <c r="A41" s="26"/>
      <c r="B41" s="16"/>
      <c r="C41" s="16"/>
      <c r="D41" s="27"/>
      <c r="E41" s="87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 ht="15.75">
      <c r="A42" s="26"/>
      <c r="B42" s="16"/>
      <c r="C42" s="16"/>
      <c r="D42" s="27"/>
      <c r="E42" s="87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 ht="15.75">
      <c r="A43" s="26"/>
      <c r="B43" s="16"/>
      <c r="C43" s="16"/>
      <c r="D43" s="27"/>
      <c r="E43" s="87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 ht="15.75">
      <c r="A44" s="26"/>
      <c r="B44" s="16"/>
      <c r="C44" s="16"/>
      <c r="D44" s="27"/>
      <c r="E44" s="87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 ht="15.75">
      <c r="A45" s="26"/>
      <c r="B45" s="16"/>
      <c r="C45" s="16"/>
      <c r="D45" s="27"/>
      <c r="E45" s="87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 ht="15.75">
      <c r="A46" s="26"/>
      <c r="B46" s="16"/>
      <c r="C46" s="16"/>
      <c r="D46" s="27"/>
      <c r="E46" s="87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 ht="15.75">
      <c r="A47" s="26"/>
      <c r="B47" s="16"/>
      <c r="C47" s="16"/>
      <c r="D47" s="27"/>
      <c r="E47" s="87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 ht="15.75">
      <c r="A48" s="26"/>
      <c r="B48" s="16"/>
      <c r="C48" s="16"/>
      <c r="D48" s="27"/>
      <c r="E48" s="87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 ht="15.75">
      <c r="A49" s="26"/>
      <c r="B49" s="16"/>
      <c r="C49" s="16"/>
      <c r="D49" s="27"/>
      <c r="E49" s="87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 ht="15.75">
      <c r="A50" s="26"/>
      <c r="B50" s="16"/>
      <c r="C50" s="16"/>
      <c r="D50" s="27"/>
      <c r="E50" s="87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 ht="15.75">
      <c r="A51" s="26"/>
      <c r="B51" s="16"/>
      <c r="C51" s="16"/>
      <c r="D51" s="27"/>
      <c r="E51" s="87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 ht="15.75">
      <c r="A52" s="26"/>
      <c r="B52" s="16"/>
      <c r="C52" s="16"/>
      <c r="D52" s="27"/>
      <c r="E52" s="87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 ht="15.75">
      <c r="A53" s="26"/>
      <c r="B53" s="16"/>
      <c r="C53" s="16"/>
      <c r="D53" s="27"/>
      <c r="E53" s="87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 ht="15.75">
      <c r="A54" s="26"/>
      <c r="B54" s="16"/>
      <c r="C54" s="16"/>
      <c r="D54" s="27"/>
      <c r="E54" s="87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 ht="15.75">
      <c r="A55" s="26"/>
      <c r="B55" s="16"/>
      <c r="C55" s="16"/>
      <c r="D55" s="27"/>
      <c r="E55" s="87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 ht="15.75">
      <c r="A56" s="26"/>
      <c r="B56" s="16"/>
      <c r="C56" s="16"/>
      <c r="D56" s="27"/>
      <c r="E56" s="87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 ht="15.75">
      <c r="A57" s="26"/>
      <c r="B57" s="16"/>
      <c r="C57" s="16"/>
      <c r="D57" s="27"/>
      <c r="E57" s="87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 ht="15.75">
      <c r="A58" s="26"/>
      <c r="B58" s="16"/>
      <c r="C58" s="16"/>
      <c r="D58" s="27"/>
      <c r="E58" s="87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 ht="15.75">
      <c r="A59" s="26"/>
      <c r="B59" s="16"/>
      <c r="C59" s="16"/>
      <c r="D59" s="27"/>
      <c r="E59" s="87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 ht="15.75">
      <c r="A60" s="26"/>
      <c r="B60" s="16"/>
      <c r="C60" s="16"/>
      <c r="D60" s="27"/>
      <c r="E60" s="87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 ht="15.75">
      <c r="A61" s="26"/>
      <c r="B61" s="16"/>
      <c r="C61" s="16"/>
      <c r="D61" s="27"/>
      <c r="E61" s="87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 ht="15.75">
      <c r="A62" s="26"/>
      <c r="B62" s="16"/>
      <c r="C62" s="16"/>
      <c r="D62" s="27"/>
      <c r="E62" s="87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 ht="15.75">
      <c r="A63" s="26"/>
      <c r="B63" s="16"/>
      <c r="C63" s="16"/>
      <c r="D63" s="27"/>
      <c r="E63" s="87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 ht="15.75">
      <c r="A64" s="26"/>
      <c r="B64" s="16"/>
      <c r="C64" s="16"/>
      <c r="D64" s="27"/>
      <c r="E64" s="87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 ht="15.75">
      <c r="A65" s="26"/>
      <c r="B65" s="16"/>
      <c r="C65" s="16"/>
      <c r="D65" s="27"/>
      <c r="E65" s="87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 ht="15.75">
      <c r="A66" s="26"/>
      <c r="B66" s="16"/>
      <c r="C66" s="16"/>
      <c r="D66" s="27"/>
      <c r="E66" s="87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 ht="15.75">
      <c r="A67" s="26"/>
      <c r="B67" s="16"/>
      <c r="C67" s="16"/>
      <c r="D67" s="27"/>
      <c r="E67" s="87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 ht="15.75">
      <c r="A68" s="26"/>
      <c r="B68" s="16"/>
      <c r="C68" s="16"/>
      <c r="D68" s="27"/>
      <c r="E68" s="87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 ht="15.75">
      <c r="A69" s="26"/>
      <c r="B69" s="16"/>
      <c r="C69" s="16"/>
      <c r="D69" s="27"/>
      <c r="E69" s="87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 ht="15.75">
      <c r="A70" s="26"/>
      <c r="B70" s="16"/>
      <c r="C70" s="16"/>
      <c r="D70" s="27"/>
      <c r="E70" s="87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 ht="15.75">
      <c r="A71" s="26"/>
      <c r="B71" s="16"/>
      <c r="C71" s="16"/>
      <c r="D71" s="27"/>
      <c r="E71" s="87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 ht="15.75">
      <c r="A72" s="26"/>
      <c r="B72" s="16"/>
      <c r="C72" s="16"/>
      <c r="D72" s="27"/>
      <c r="E72" s="87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 ht="15.75">
      <c r="A73" s="26"/>
      <c r="B73" s="16"/>
      <c r="C73" s="16"/>
      <c r="D73" s="27"/>
      <c r="E73" s="87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 ht="15.75">
      <c r="A74" s="26"/>
      <c r="B74" s="16"/>
      <c r="C74" s="16"/>
      <c r="D74" s="27"/>
      <c r="E74" s="87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 ht="15.75">
      <c r="A75" s="26"/>
      <c r="B75" s="16"/>
      <c r="C75" s="16"/>
      <c r="D75" s="27"/>
      <c r="E75" s="87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 ht="15.75">
      <c r="A76" s="26"/>
      <c r="B76" s="16"/>
      <c r="C76" s="16"/>
      <c r="D76" s="27"/>
      <c r="E76" s="87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 ht="15.75">
      <c r="A77" s="26"/>
      <c r="B77" s="16"/>
      <c r="C77" s="16"/>
      <c r="D77" s="27"/>
      <c r="E77" s="87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 ht="15.75">
      <c r="A78" s="26"/>
      <c r="B78" s="16"/>
      <c r="C78" s="16"/>
      <c r="D78" s="27"/>
      <c r="E78" s="87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 ht="15.75">
      <c r="A79" s="26"/>
      <c r="B79" s="16"/>
      <c r="C79" s="16"/>
      <c r="D79" s="27"/>
      <c r="E79" s="87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 ht="15.75">
      <c r="A80" s="26"/>
      <c r="B80" s="16"/>
      <c r="C80" s="16"/>
      <c r="D80" s="27"/>
      <c r="E80" s="87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 ht="15.75">
      <c r="A81" s="26"/>
      <c r="B81" s="16"/>
      <c r="C81" s="16"/>
      <c r="D81" s="27"/>
      <c r="E81" s="87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 ht="15.75">
      <c r="A82" s="26"/>
      <c r="B82" s="16"/>
      <c r="C82" s="16"/>
      <c r="D82" s="27"/>
      <c r="E82" s="87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 ht="15.75">
      <c r="A83" s="26"/>
      <c r="B83" s="16"/>
      <c r="C83" s="16"/>
      <c r="D83" s="27"/>
      <c r="E83" s="87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 ht="15.75">
      <c r="A84" s="26"/>
      <c r="B84" s="16"/>
      <c r="C84" s="16"/>
      <c r="D84" s="27"/>
      <c r="E84" s="87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 ht="15.75">
      <c r="A85" s="26"/>
      <c r="B85" s="16"/>
      <c r="C85" s="16"/>
      <c r="D85" s="27"/>
      <c r="E85" s="87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 ht="15.75">
      <c r="A86" s="26"/>
      <c r="B86" s="16"/>
      <c r="C86" s="16"/>
      <c r="D86" s="27"/>
      <c r="E86" s="87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 ht="15.75">
      <c r="A87" s="26"/>
      <c r="B87" s="16"/>
      <c r="C87" s="16"/>
      <c r="D87" s="27"/>
      <c r="E87" s="87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 ht="15.75">
      <c r="A88" s="26"/>
      <c r="B88" s="16"/>
      <c r="C88" s="16"/>
      <c r="D88" s="27"/>
      <c r="E88" s="87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 ht="15.75">
      <c r="A89" s="26"/>
      <c r="B89" s="16"/>
      <c r="C89" s="16"/>
      <c r="D89" s="27"/>
      <c r="E89" s="87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 ht="15.75">
      <c r="A90" s="26"/>
      <c r="B90" s="16"/>
      <c r="C90" s="16"/>
      <c r="D90" s="27"/>
      <c r="E90" s="87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 ht="15.75">
      <c r="A91" s="26"/>
      <c r="B91" s="16"/>
      <c r="C91" s="16"/>
      <c r="D91" s="27"/>
      <c r="E91" s="87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 ht="15.75">
      <c r="A92" s="26"/>
      <c r="B92" s="16"/>
      <c r="C92" s="16"/>
      <c r="D92" s="27"/>
      <c r="E92" s="87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 ht="15.75">
      <c r="A93" s="26"/>
      <c r="B93" s="16"/>
      <c r="C93" s="16"/>
      <c r="D93" s="27"/>
      <c r="E93" s="87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 ht="15.75">
      <c r="A94" s="26"/>
      <c r="B94" s="16"/>
      <c r="C94" s="16"/>
      <c r="D94" s="27"/>
      <c r="E94" s="87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 ht="15.75">
      <c r="A95" s="26"/>
      <c r="B95" s="16"/>
      <c r="C95" s="16"/>
      <c r="D95" s="27"/>
      <c r="E95" s="87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 ht="15.75">
      <c r="A96" s="26"/>
      <c r="B96" s="16"/>
      <c r="C96" s="16"/>
      <c r="D96" s="27"/>
      <c r="E96" s="87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 ht="15.75">
      <c r="A97" s="26"/>
      <c r="B97" s="16"/>
      <c r="C97" s="16"/>
      <c r="D97" s="27"/>
      <c r="E97" s="87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 ht="15.75">
      <c r="A98" s="26"/>
      <c r="B98" s="16"/>
      <c r="C98" s="16"/>
      <c r="D98" s="27"/>
      <c r="E98" s="87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 ht="15.75">
      <c r="A99" s="26"/>
      <c r="B99" s="16"/>
      <c r="C99" s="16"/>
      <c r="D99" s="27"/>
      <c r="E99" s="87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 ht="15.75">
      <c r="A100" s="26"/>
      <c r="B100" s="16"/>
      <c r="C100" s="16"/>
      <c r="D100" s="27"/>
      <c r="E100" s="87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 ht="15.75">
      <c r="A101" s="26"/>
      <c r="B101" s="16"/>
      <c r="C101" s="16"/>
      <c r="D101" s="27"/>
      <c r="E101" s="87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 ht="15.75">
      <c r="A102" s="26"/>
      <c r="B102" s="16"/>
      <c r="C102" s="16"/>
      <c r="D102" s="27"/>
      <c r="E102" s="87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 ht="15.75">
      <c r="A103" s="26"/>
      <c r="B103" s="16"/>
      <c r="C103" s="16"/>
      <c r="D103" s="27"/>
      <c r="E103" s="87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 ht="15.75">
      <c r="A104" s="26"/>
      <c r="B104" s="16"/>
      <c r="C104" s="16"/>
      <c r="D104" s="27"/>
      <c r="E104" s="87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 ht="15.75">
      <c r="A105" s="26"/>
      <c r="B105" s="16"/>
      <c r="C105" s="16"/>
      <c r="D105" s="27"/>
      <c r="E105" s="87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 ht="15.75">
      <c r="A106" s="26"/>
      <c r="B106" s="16"/>
      <c r="C106" s="16"/>
      <c r="D106" s="27"/>
      <c r="E106" s="87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 ht="15.75">
      <c r="A107" s="26"/>
      <c r="B107" s="16"/>
      <c r="C107" s="16"/>
      <c r="D107" s="27"/>
      <c r="E107" s="87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 ht="15.75">
      <c r="A108" s="26"/>
      <c r="B108" s="16"/>
      <c r="C108" s="16"/>
      <c r="D108" s="27"/>
      <c r="E108" s="87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 ht="15.75">
      <c r="A109" s="26"/>
      <c r="B109" s="16"/>
      <c r="C109" s="16"/>
      <c r="D109" s="27"/>
      <c r="E109" s="87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 ht="15.75">
      <c r="A110" s="26"/>
      <c r="B110" s="16"/>
      <c r="C110" s="16"/>
      <c r="D110" s="27"/>
      <c r="E110" s="87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 ht="15.75">
      <c r="A111" s="26"/>
      <c r="B111" s="16"/>
      <c r="C111" s="16"/>
      <c r="D111" s="27"/>
      <c r="E111" s="87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 ht="15.75">
      <c r="A112" s="26"/>
      <c r="B112" s="16"/>
      <c r="C112" s="16"/>
      <c r="D112" s="27"/>
      <c r="E112" s="87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 ht="15.75">
      <c r="A113" s="26"/>
      <c r="B113" s="16"/>
      <c r="C113" s="16"/>
      <c r="D113" s="27"/>
      <c r="E113" s="87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 ht="15.75">
      <c r="A114" s="26"/>
      <c r="B114" s="16"/>
      <c r="C114" s="16"/>
      <c r="D114" s="27"/>
      <c r="E114" s="87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 ht="15.75">
      <c r="A115" s="26"/>
      <c r="B115" s="16"/>
      <c r="C115" s="16"/>
      <c r="D115" s="27"/>
      <c r="E115" s="87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 ht="15.75">
      <c r="A116" s="26"/>
      <c r="B116" s="16"/>
      <c r="C116" s="16"/>
      <c r="D116" s="27"/>
      <c r="E116" s="87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 ht="15.75">
      <c r="A117" s="26"/>
      <c r="B117" s="16"/>
      <c r="C117" s="16"/>
      <c r="D117" s="27"/>
      <c r="E117" s="87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 ht="15.75">
      <c r="A118" s="26"/>
      <c r="B118" s="16"/>
      <c r="C118" s="16"/>
      <c r="D118" s="27"/>
      <c r="E118" s="87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 ht="15.75">
      <c r="A119" s="26"/>
      <c r="B119" s="16"/>
      <c r="C119" s="16"/>
      <c r="D119" s="27"/>
      <c r="E119" s="87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 ht="15.75">
      <c r="A120" s="26"/>
      <c r="B120" s="16"/>
      <c r="C120" s="16"/>
      <c r="D120" s="27"/>
      <c r="E120" s="87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 ht="15.75">
      <c r="A121" s="26"/>
      <c r="B121" s="16"/>
      <c r="C121" s="16"/>
      <c r="D121" s="27"/>
      <c r="E121" s="87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 ht="15.75">
      <c r="A122" s="26"/>
      <c r="B122" s="16"/>
      <c r="C122" s="16"/>
      <c r="D122" s="27"/>
      <c r="E122" s="87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 ht="15.75">
      <c r="A123" s="26"/>
      <c r="B123" s="16"/>
      <c r="C123" s="16"/>
      <c r="D123" s="27"/>
      <c r="E123" s="87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 ht="15.75">
      <c r="A124" s="26"/>
      <c r="B124" s="16"/>
      <c r="C124" s="16"/>
      <c r="D124" s="27"/>
      <c r="E124" s="87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 ht="15.75">
      <c r="A125" s="26"/>
      <c r="B125" s="16"/>
      <c r="C125" s="16"/>
      <c r="D125" s="27"/>
      <c r="E125" s="87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 ht="15.75">
      <c r="A126" s="26"/>
      <c r="B126" s="16"/>
      <c r="C126" s="16"/>
      <c r="D126" s="27"/>
      <c r="E126" s="87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 ht="15.75">
      <c r="A127" s="26"/>
      <c r="B127" s="16"/>
      <c r="C127" s="16"/>
      <c r="D127" s="27"/>
      <c r="E127" s="87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 ht="15.75">
      <c r="A128" s="26"/>
      <c r="B128" s="16"/>
      <c r="C128" s="16"/>
      <c r="D128" s="27"/>
      <c r="E128" s="87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 ht="15.75">
      <c r="A129" s="26"/>
      <c r="B129" s="16"/>
      <c r="C129" s="16"/>
      <c r="D129" s="27"/>
      <c r="E129" s="87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 ht="15.75">
      <c r="A130" s="26"/>
      <c r="B130" s="16"/>
      <c r="C130" s="16"/>
      <c r="D130" s="27"/>
      <c r="E130" s="87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 ht="15.75">
      <c r="A131" s="26"/>
      <c r="B131" s="16"/>
      <c r="C131" s="16"/>
      <c r="D131" s="27"/>
      <c r="E131" s="87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 ht="15.75">
      <c r="A132" s="26"/>
      <c r="B132" s="16"/>
      <c r="C132" s="16"/>
      <c r="D132" s="27"/>
      <c r="E132" s="87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 ht="15.75">
      <c r="A133" s="26"/>
      <c r="B133" s="16"/>
      <c r="C133" s="16"/>
      <c r="D133" s="27"/>
      <c r="E133" s="87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 ht="15.75">
      <c r="A134" s="26"/>
      <c r="B134" s="16"/>
      <c r="C134" s="16"/>
      <c r="D134" s="27"/>
      <c r="E134" s="87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 ht="15.75">
      <c r="A135" s="26"/>
      <c r="B135" s="16"/>
      <c r="C135" s="16"/>
      <c r="D135" s="27"/>
      <c r="E135" s="87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 ht="15.75">
      <c r="A136" s="26"/>
      <c r="B136" s="16"/>
      <c r="C136" s="16"/>
      <c r="D136" s="27"/>
      <c r="E136" s="87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 ht="15.75">
      <c r="A137" s="26"/>
      <c r="B137" s="16"/>
      <c r="C137" s="16"/>
      <c r="D137" s="27"/>
      <c r="E137" s="87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 ht="15.75">
      <c r="A138" s="26"/>
      <c r="B138" s="16"/>
      <c r="C138" s="16"/>
      <c r="D138" s="27"/>
      <c r="E138" s="87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 ht="15.75">
      <c r="A139" s="26"/>
      <c r="B139" s="16"/>
      <c r="C139" s="16"/>
      <c r="D139" s="27"/>
      <c r="E139" s="87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 ht="15.75">
      <c r="A140" s="26"/>
      <c r="B140" s="16"/>
      <c r="C140" s="16"/>
      <c r="D140" s="27"/>
      <c r="E140" s="87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 ht="15.75">
      <c r="A141" s="26"/>
      <c r="B141" s="16"/>
      <c r="C141" s="16"/>
      <c r="D141" s="27"/>
      <c r="E141" s="87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 ht="15.75">
      <c r="A142" s="26"/>
      <c r="B142" s="16"/>
      <c r="C142" s="16"/>
      <c r="D142" s="27"/>
      <c r="E142" s="87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 ht="15.75">
      <c r="A143" s="26"/>
      <c r="B143" s="16"/>
      <c r="C143" s="16"/>
      <c r="D143" s="27"/>
      <c r="E143" s="87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 ht="15.75">
      <c r="A144" s="26"/>
      <c r="B144" s="16"/>
      <c r="C144" s="16"/>
      <c r="D144" s="27"/>
      <c r="E144" s="87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 ht="15.75">
      <c r="A145" s="26"/>
      <c r="B145" s="16"/>
      <c r="C145" s="16"/>
      <c r="D145" s="27"/>
      <c r="E145" s="87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 ht="15.75">
      <c r="A146" s="26"/>
      <c r="B146" s="16"/>
      <c r="C146" s="16"/>
      <c r="D146" s="27"/>
      <c r="E146" s="87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 ht="15.75">
      <c r="A147" s="26"/>
      <c r="B147" s="16"/>
      <c r="C147" s="16"/>
      <c r="D147" s="27"/>
      <c r="E147" s="87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 ht="15.75">
      <c r="A148" s="26"/>
      <c r="B148" s="16"/>
      <c r="C148" s="16"/>
      <c r="D148" s="27"/>
      <c r="E148" s="87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 ht="15.75">
      <c r="A149" s="26"/>
      <c r="B149" s="16"/>
      <c r="C149" s="16"/>
      <c r="D149" s="27"/>
      <c r="E149" s="87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 ht="15.75">
      <c r="A150" s="26"/>
      <c r="B150" s="16"/>
      <c r="C150" s="16"/>
      <c r="D150" s="27"/>
      <c r="E150" s="87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 ht="15.75">
      <c r="A151" s="26"/>
      <c r="B151" s="16"/>
      <c r="C151" s="16"/>
      <c r="D151" s="27"/>
      <c r="E151" s="87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 ht="15.75">
      <c r="A152" s="26"/>
      <c r="B152" s="16"/>
      <c r="C152" s="16"/>
      <c r="D152" s="27"/>
      <c r="E152" s="87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 ht="15.75">
      <c r="A153" s="26"/>
      <c r="B153" s="16"/>
      <c r="C153" s="16"/>
      <c r="D153" s="27"/>
      <c r="E153" s="87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 ht="15.75">
      <c r="A154" s="26"/>
      <c r="B154" s="16"/>
      <c r="C154" s="16"/>
      <c r="D154" s="27"/>
      <c r="E154" s="87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 ht="15.75">
      <c r="A155" s="26"/>
      <c r="B155" s="16"/>
      <c r="C155" s="16"/>
      <c r="D155" s="27"/>
      <c r="E155" s="87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 ht="15.75">
      <c r="A156" s="26"/>
      <c r="B156" s="16"/>
      <c r="C156" s="16"/>
      <c r="D156" s="27"/>
      <c r="E156" s="87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 ht="15.75">
      <c r="A157" s="26"/>
      <c r="B157" s="16"/>
      <c r="C157" s="16"/>
      <c r="D157" s="27"/>
      <c r="E157" s="87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 ht="15.75">
      <c r="A158" s="26"/>
      <c r="B158" s="16"/>
      <c r="C158" s="16"/>
      <c r="D158" s="27"/>
      <c r="E158" s="87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 ht="15.75">
      <c r="A159" s="26"/>
      <c r="B159" s="16"/>
      <c r="C159" s="16"/>
      <c r="D159" s="27"/>
      <c r="E159" s="87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 ht="15.75">
      <c r="A160" s="26"/>
      <c r="B160" s="16"/>
      <c r="C160" s="16"/>
      <c r="D160" s="27"/>
      <c r="E160" s="87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 ht="15.75">
      <c r="A161" s="26"/>
      <c r="B161" s="16"/>
      <c r="C161" s="16"/>
      <c r="D161" s="27"/>
      <c r="E161" s="87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 ht="15.75">
      <c r="A162" s="26"/>
      <c r="B162" s="16"/>
      <c r="C162" s="16"/>
      <c r="D162" s="27"/>
      <c r="E162" s="87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 ht="15.75">
      <c r="A163" s="26"/>
      <c r="B163" s="16"/>
      <c r="C163" s="16"/>
      <c r="D163" s="27"/>
      <c r="E163" s="87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 ht="15.75">
      <c r="A164" s="26"/>
      <c r="B164" s="16"/>
      <c r="C164" s="16"/>
      <c r="D164" s="27"/>
      <c r="E164" s="87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 ht="15.75">
      <c r="A165" s="26"/>
      <c r="B165" s="16"/>
      <c r="C165" s="16"/>
      <c r="D165" s="27"/>
      <c r="E165" s="87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 ht="15.75">
      <c r="A166" s="26"/>
      <c r="B166" s="16"/>
      <c r="C166" s="16"/>
      <c r="D166" s="27"/>
      <c r="E166" s="87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 ht="15.75">
      <c r="A167" s="26"/>
      <c r="B167" s="16"/>
      <c r="C167" s="16"/>
      <c r="D167" s="27"/>
      <c r="E167" s="87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 ht="15.75">
      <c r="A168" s="26"/>
      <c r="B168" s="16"/>
      <c r="C168" s="16"/>
      <c r="D168" s="27"/>
      <c r="E168" s="87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 ht="15.75">
      <c r="A169" s="26"/>
      <c r="B169" s="16"/>
      <c r="C169" s="16"/>
      <c r="D169" s="27"/>
      <c r="E169" s="87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 ht="15.75">
      <c r="A170" s="26"/>
      <c r="B170" s="16"/>
      <c r="C170" s="16"/>
      <c r="D170" s="27"/>
      <c r="E170" s="87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 ht="15.75">
      <c r="A171" s="26"/>
      <c r="B171" s="16"/>
      <c r="C171" s="16"/>
      <c r="D171" s="27"/>
      <c r="E171" s="87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 ht="15.75">
      <c r="A172" s="26"/>
      <c r="B172" s="16"/>
      <c r="C172" s="16"/>
      <c r="D172" s="27"/>
      <c r="E172" s="87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 ht="15.75">
      <c r="A173" s="26"/>
      <c r="B173" s="16"/>
      <c r="C173" s="16"/>
      <c r="D173" s="27"/>
      <c r="E173" s="87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 ht="15.75">
      <c r="A174" s="26"/>
      <c r="B174" s="16"/>
      <c r="C174" s="16"/>
      <c r="D174" s="27"/>
      <c r="E174" s="87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 ht="15.75">
      <c r="A175" s="26"/>
      <c r="B175" s="16"/>
      <c r="C175" s="16"/>
      <c r="D175" s="27"/>
      <c r="E175" s="87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 ht="15.75">
      <c r="A176" s="26"/>
      <c r="B176" s="16"/>
      <c r="C176" s="16"/>
      <c r="D176" s="27"/>
      <c r="E176" s="87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 ht="15.75">
      <c r="A177" s="26"/>
      <c r="B177" s="16"/>
      <c r="C177" s="16"/>
      <c r="D177" s="27"/>
      <c r="E177" s="87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 ht="15.75">
      <c r="A178" s="26"/>
      <c r="B178" s="16"/>
      <c r="C178" s="16"/>
      <c r="D178" s="27"/>
      <c r="E178" s="87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 ht="15.75">
      <c r="A179" s="26"/>
      <c r="B179" s="16"/>
      <c r="C179" s="16"/>
      <c r="D179" s="27"/>
      <c r="E179" s="87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 ht="15.75">
      <c r="A180" s="26"/>
      <c r="B180" s="16"/>
      <c r="C180" s="16"/>
      <c r="D180" s="27"/>
      <c r="E180" s="87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 ht="15.75">
      <c r="A181" s="26"/>
      <c r="B181" s="16"/>
      <c r="C181" s="16"/>
      <c r="D181" s="27"/>
      <c r="E181" s="87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 ht="15.75">
      <c r="A182" s="26"/>
      <c r="B182" s="16"/>
      <c r="C182" s="16"/>
      <c r="D182" s="27"/>
      <c r="E182" s="87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 ht="15.75">
      <c r="A183" s="26"/>
      <c r="B183" s="16"/>
      <c r="C183" s="16"/>
      <c r="D183" s="27"/>
      <c r="E183" s="87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 ht="15.75">
      <c r="A184" s="26"/>
      <c r="B184" s="16"/>
      <c r="C184" s="16"/>
      <c r="D184" s="27"/>
      <c r="E184" s="87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 ht="15.75">
      <c r="A185" s="26"/>
      <c r="B185" s="16"/>
      <c r="C185" s="16"/>
      <c r="D185" s="27"/>
      <c r="E185" s="87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 ht="15.75">
      <c r="A186" s="26"/>
      <c r="B186" s="16"/>
      <c r="C186" s="16"/>
      <c r="D186" s="27"/>
      <c r="E186" s="87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 ht="15.75">
      <c r="A187" s="26"/>
      <c r="B187" s="16"/>
      <c r="C187" s="16"/>
      <c r="D187" s="27"/>
      <c r="E187" s="87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 ht="15.75">
      <c r="A188" s="26"/>
      <c r="B188" s="16"/>
      <c r="C188" s="16"/>
      <c r="D188" s="27"/>
      <c r="E188" s="87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 ht="15.75">
      <c r="A189" s="26"/>
      <c r="B189" s="16"/>
      <c r="C189" s="16"/>
      <c r="D189" s="27"/>
      <c r="E189" s="87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 ht="15.75">
      <c r="A190" s="26"/>
      <c r="B190" s="16"/>
      <c r="C190" s="16"/>
      <c r="D190" s="27"/>
      <c r="E190" s="87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 ht="15.75">
      <c r="A191" s="26"/>
      <c r="B191" s="16"/>
      <c r="C191" s="16"/>
      <c r="D191" s="27"/>
      <c r="E191" s="87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 ht="15.75">
      <c r="A192" s="26"/>
      <c r="B192" s="16"/>
      <c r="C192" s="16"/>
      <c r="D192" s="27"/>
      <c r="E192" s="87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 ht="15.75">
      <c r="A193" s="26"/>
      <c r="B193" s="16"/>
      <c r="C193" s="16"/>
      <c r="D193" s="27"/>
      <c r="E193" s="87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 ht="15.75">
      <c r="A194" s="26"/>
      <c r="B194" s="16"/>
      <c r="C194" s="16"/>
      <c r="D194" s="27"/>
      <c r="E194" s="87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 ht="15.75">
      <c r="A195" s="26"/>
      <c r="B195" s="16"/>
      <c r="C195" s="16"/>
      <c r="D195" s="27"/>
      <c r="E195" s="87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 ht="15.75">
      <c r="A196" s="26"/>
      <c r="B196" s="16"/>
      <c r="C196" s="16"/>
      <c r="D196" s="27"/>
      <c r="E196" s="87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</sheetData>
  <mergeCells count="1">
    <mergeCell ref="A1:F1"/>
  </mergeCells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97"/>
  <sheetViews>
    <sheetView showGridLines="0" zoomScaleNormal="100" zoomScaleSheetLayoutView="100" workbookViewId="0">
      <pane ySplit="2" topLeftCell="A3" activePane="bottomLeft" state="frozen"/>
      <selection pane="bottomLeft" sqref="A1:F1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5" width="11.375" customWidth="1"/>
    <col min="6" max="6" width="6.25" customWidth="1"/>
    <col min="7" max="26" width="9.125" customWidth="1"/>
  </cols>
  <sheetData>
    <row r="1" spans="1:26" ht="27.75">
      <c r="A1" s="171" t="s">
        <v>0</v>
      </c>
      <c r="B1" s="172"/>
      <c r="C1" s="172"/>
      <c r="D1" s="172"/>
      <c r="E1" s="172"/>
      <c r="F1" s="17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2" t="s">
        <v>1</v>
      </c>
      <c r="B2" s="3" t="s">
        <v>2</v>
      </c>
      <c r="C2" s="3" t="s">
        <v>3</v>
      </c>
      <c r="D2" s="4" t="s">
        <v>4</v>
      </c>
      <c r="E2" s="5" t="s">
        <v>5</v>
      </c>
      <c r="F2" s="3" t="s">
        <v>6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8.75" customHeight="1">
      <c r="A3" s="7">
        <v>43983</v>
      </c>
      <c r="B3" s="8" t="s">
        <v>7</v>
      </c>
      <c r="C3" s="8" t="s">
        <v>8</v>
      </c>
      <c r="D3" s="9">
        <v>549</v>
      </c>
      <c r="E3" s="29"/>
      <c r="F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8.75" customHeight="1">
      <c r="A4" s="7">
        <v>43983</v>
      </c>
      <c r="B4" s="8" t="s">
        <v>7</v>
      </c>
      <c r="C4" s="8" t="s">
        <v>9</v>
      </c>
      <c r="D4" s="9">
        <v>113.39</v>
      </c>
      <c r="E4" s="29"/>
      <c r="F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8.75" customHeight="1">
      <c r="A5" s="7">
        <v>43985</v>
      </c>
      <c r="B5" s="8" t="s">
        <v>10</v>
      </c>
      <c r="C5" s="8" t="s">
        <v>11</v>
      </c>
      <c r="D5" s="12">
        <v>13273.99</v>
      </c>
      <c r="E5" s="29"/>
      <c r="F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8.75" customHeight="1">
      <c r="A6" s="7">
        <v>43985</v>
      </c>
      <c r="B6" s="8" t="s">
        <v>7</v>
      </c>
      <c r="C6" s="8" t="s">
        <v>12</v>
      </c>
      <c r="D6" s="13">
        <v>9800</v>
      </c>
      <c r="E6" s="29"/>
      <c r="F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8.75" customHeight="1">
      <c r="A7" s="7">
        <v>43987</v>
      </c>
      <c r="B7" s="8" t="s">
        <v>7</v>
      </c>
      <c r="C7" s="8" t="s">
        <v>13</v>
      </c>
      <c r="D7" s="12">
        <v>1061</v>
      </c>
      <c r="E7" s="29"/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8.75" customHeight="1">
      <c r="A8" s="7">
        <v>43987</v>
      </c>
      <c r="B8" s="8" t="s">
        <v>10</v>
      </c>
      <c r="C8" s="8" t="s">
        <v>13</v>
      </c>
      <c r="D8" s="12">
        <v>1022</v>
      </c>
      <c r="E8" s="29"/>
      <c r="F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8.75" customHeight="1">
      <c r="A9" s="7">
        <v>43989</v>
      </c>
      <c r="B9" s="8" t="s">
        <v>10</v>
      </c>
      <c r="C9" s="8" t="s">
        <v>14</v>
      </c>
      <c r="D9" s="13">
        <v>33280.949999999997</v>
      </c>
      <c r="E9" s="29"/>
      <c r="F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8.75" customHeight="1">
      <c r="A10" s="7">
        <v>43991</v>
      </c>
      <c r="B10" s="8" t="s">
        <v>10</v>
      </c>
      <c r="C10" s="8" t="s">
        <v>15</v>
      </c>
      <c r="D10" s="9">
        <v>578.01</v>
      </c>
      <c r="E10" s="13"/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8.75" customHeight="1">
      <c r="A11" s="7">
        <v>43991</v>
      </c>
      <c r="B11" s="8" t="s">
        <v>7</v>
      </c>
      <c r="C11" s="8" t="s">
        <v>15</v>
      </c>
      <c r="D11" s="9">
        <v>416.5</v>
      </c>
      <c r="E11" s="15">
        <v>43990</v>
      </c>
      <c r="F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8.75" customHeight="1">
      <c r="A12" s="7">
        <v>43991</v>
      </c>
      <c r="B12" s="8" t="s">
        <v>10</v>
      </c>
      <c r="C12" s="8" t="s">
        <v>16</v>
      </c>
      <c r="D12" s="9">
        <v>0</v>
      </c>
      <c r="E12" s="9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8.75" customHeight="1">
      <c r="A13" s="7">
        <v>43998</v>
      </c>
      <c r="B13" s="8" t="s">
        <v>10</v>
      </c>
      <c r="C13" s="8" t="s">
        <v>17</v>
      </c>
      <c r="D13" s="9">
        <v>25040</v>
      </c>
      <c r="E13" s="15">
        <v>43998</v>
      </c>
      <c r="F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8.75" customHeight="1">
      <c r="A14" s="7">
        <v>44003</v>
      </c>
      <c r="B14" s="8" t="s">
        <v>18</v>
      </c>
      <c r="C14" s="8" t="s">
        <v>11</v>
      </c>
      <c r="D14" s="9">
        <v>10274.69</v>
      </c>
      <c r="E14" s="14">
        <v>44003</v>
      </c>
      <c r="F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8.75" customHeight="1">
      <c r="A15" s="7">
        <v>44003</v>
      </c>
      <c r="B15" s="8" t="s">
        <v>10</v>
      </c>
      <c r="C15" s="8" t="s">
        <v>19</v>
      </c>
      <c r="D15" s="9">
        <v>0</v>
      </c>
      <c r="E15" s="9"/>
      <c r="F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8.75" customHeight="1">
      <c r="A16" s="7">
        <v>44004</v>
      </c>
      <c r="B16" s="8" t="s">
        <v>7</v>
      </c>
      <c r="C16" s="8" t="s">
        <v>20</v>
      </c>
      <c r="D16" s="9">
        <v>0</v>
      </c>
      <c r="E16" s="9"/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8.75" customHeight="1">
      <c r="A17" s="7">
        <v>44005</v>
      </c>
      <c r="B17" s="8" t="s">
        <v>10</v>
      </c>
      <c r="C17" s="8" t="s">
        <v>21</v>
      </c>
      <c r="D17" s="9">
        <v>4142.5</v>
      </c>
      <c r="E17" s="15">
        <v>44005</v>
      </c>
      <c r="F17" s="8"/>
      <c r="G17" s="11"/>
      <c r="H17" s="11"/>
      <c r="I17" s="16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8.75" customHeight="1">
      <c r="A18" s="7">
        <v>44005</v>
      </c>
      <c r="B18" s="8" t="s">
        <v>22</v>
      </c>
      <c r="C18" s="8" t="s">
        <v>14</v>
      </c>
      <c r="D18" s="9">
        <v>51.98</v>
      </c>
      <c r="E18" s="15">
        <v>44004</v>
      </c>
      <c r="F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8.75" customHeight="1">
      <c r="A19" s="7">
        <v>44009</v>
      </c>
      <c r="B19" s="8" t="s">
        <v>10</v>
      </c>
      <c r="C19" s="8" t="s">
        <v>9</v>
      </c>
      <c r="D19" s="9">
        <v>165.7</v>
      </c>
      <c r="E19" s="15">
        <v>44007</v>
      </c>
      <c r="F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8.75" customHeight="1">
      <c r="A20" s="7">
        <v>44009</v>
      </c>
      <c r="B20" s="8" t="s">
        <v>10</v>
      </c>
      <c r="C20" s="8" t="s">
        <v>23</v>
      </c>
      <c r="D20" s="9">
        <v>0</v>
      </c>
      <c r="E20" s="14">
        <v>44007</v>
      </c>
      <c r="F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8.75" customHeight="1">
      <c r="A21" s="7">
        <v>44011</v>
      </c>
      <c r="B21" s="8"/>
      <c r="C21" s="8" t="s">
        <v>24</v>
      </c>
      <c r="D21" s="9">
        <v>157.30000000000001</v>
      </c>
      <c r="E21" s="14">
        <v>44007</v>
      </c>
      <c r="F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8.75" customHeight="1">
      <c r="A22" s="7">
        <v>44012</v>
      </c>
      <c r="B22" s="8" t="s">
        <v>25</v>
      </c>
      <c r="C22" s="8" t="s">
        <v>26</v>
      </c>
      <c r="D22" s="9">
        <v>0</v>
      </c>
      <c r="E22" s="15">
        <v>44007</v>
      </c>
      <c r="F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18.75" customHeight="1">
      <c r="A23" s="17"/>
      <c r="B23" s="18"/>
      <c r="C23" s="18"/>
      <c r="D23" s="19">
        <f>SUM(D3:D22)</f>
        <v>99927.01</v>
      </c>
      <c r="E23" s="20"/>
      <c r="F23" s="18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22.5" customHeight="1">
      <c r="A24" s="16"/>
      <c r="B24" s="16"/>
      <c r="C24" s="16"/>
      <c r="D24" s="16"/>
      <c r="E24" s="16"/>
      <c r="F24" s="16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22.5" customHeight="1">
      <c r="A25" s="16"/>
      <c r="B25" s="16"/>
      <c r="C25" s="16"/>
      <c r="D25" s="16"/>
      <c r="E25" s="16"/>
      <c r="F25" s="16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ht="18.75" customHeight="1">
      <c r="A26" s="22"/>
      <c r="B26" s="23"/>
      <c r="C26" s="23"/>
      <c r="D26" s="24"/>
      <c r="E26" s="25"/>
      <c r="F26" s="23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 ht="15.75">
      <c r="A27" s="26"/>
      <c r="B27" s="16"/>
      <c r="C27" s="16"/>
      <c r="D27" s="27"/>
      <c r="E27" s="28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 ht="15.75">
      <c r="A28" s="26"/>
      <c r="B28" s="16"/>
      <c r="C28" s="16"/>
      <c r="D28" s="27"/>
      <c r="E28" s="28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 ht="15.75">
      <c r="A29" s="26"/>
      <c r="B29" s="16"/>
      <c r="C29" s="16"/>
      <c r="D29" s="27"/>
      <c r="E29" s="28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 ht="15.75">
      <c r="A30" s="26"/>
      <c r="B30" s="16"/>
      <c r="C30" s="16"/>
      <c r="D30" s="27"/>
      <c r="E30" s="28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 ht="15.75">
      <c r="A31" s="26"/>
      <c r="B31" s="16"/>
      <c r="C31" s="16"/>
      <c r="D31" s="27"/>
      <c r="E31" s="28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 ht="15.75">
      <c r="A32" s="26"/>
      <c r="B32" s="16"/>
      <c r="C32" s="16"/>
      <c r="D32" s="27"/>
      <c r="E32" s="28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 ht="15.75">
      <c r="A33" s="26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 ht="15.75">
      <c r="A34" s="26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 ht="15.75">
      <c r="A35" s="26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 ht="15.75">
      <c r="A36" s="26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 ht="15.75">
      <c r="A37" s="26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 ht="15.75">
      <c r="A38" s="26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 ht="15.75">
      <c r="A39" s="26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 ht="15.75">
      <c r="A40" s="26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 ht="15.75">
      <c r="A41" s="26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 ht="15.75">
      <c r="A42" s="26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 ht="15.75">
      <c r="A43" s="26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 ht="15.75">
      <c r="A44" s="26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 ht="15.75">
      <c r="A45" s="26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 ht="15.75">
      <c r="A46" s="26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 ht="15.75">
      <c r="A47" s="26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 ht="15.75">
      <c r="A48" s="26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 ht="15.75">
      <c r="A49" s="26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 ht="15.75">
      <c r="A50" s="26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 ht="15.75">
      <c r="A51" s="26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 ht="15.75">
      <c r="A52" s="26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 ht="15.75">
      <c r="A53" s="26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 ht="15.75">
      <c r="A54" s="26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 ht="15.75">
      <c r="A55" s="26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 ht="15.75">
      <c r="A56" s="26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 ht="15.75">
      <c r="A57" s="26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 ht="15.75">
      <c r="A58" s="26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 ht="15.75">
      <c r="A59" s="26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 ht="15.75">
      <c r="A60" s="26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 ht="15.75">
      <c r="A61" s="26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 ht="15.75">
      <c r="A62" s="26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 ht="15.75">
      <c r="A63" s="26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 ht="15.75">
      <c r="A64" s="26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 ht="15.75">
      <c r="A65" s="26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 ht="15.75">
      <c r="A66" s="26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 ht="15.75">
      <c r="A67" s="26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 ht="15.75">
      <c r="A68" s="26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 ht="15.75">
      <c r="A69" s="26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 ht="15.75">
      <c r="A70" s="26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 ht="15.75">
      <c r="A71" s="26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 ht="15.75">
      <c r="A72" s="26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 ht="15.75">
      <c r="A73" s="26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 ht="15.75">
      <c r="A74" s="26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 ht="15.75">
      <c r="A75" s="26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 ht="15.75">
      <c r="A76" s="26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 ht="15.75">
      <c r="A77" s="26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 ht="15.75">
      <c r="A78" s="26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 ht="15.75">
      <c r="A79" s="26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 ht="15.75">
      <c r="A80" s="26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 ht="15.75">
      <c r="A81" s="26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 ht="15.75">
      <c r="A82" s="26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 ht="15.75">
      <c r="A83" s="26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 ht="15.75">
      <c r="A84" s="26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 ht="15.75">
      <c r="A85" s="26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 ht="15.75">
      <c r="A86" s="26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 ht="15.75">
      <c r="A87" s="26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 ht="15.75">
      <c r="A88" s="26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 ht="15.75">
      <c r="A89" s="26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 ht="15.75">
      <c r="A90" s="26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 ht="15.75">
      <c r="A91" s="26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 ht="15.75">
      <c r="A92" s="26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 ht="15.75">
      <c r="A93" s="26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 ht="15.75">
      <c r="A94" s="26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 ht="15.75">
      <c r="A95" s="26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 ht="15.75">
      <c r="A96" s="26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 ht="15.75">
      <c r="A97" s="26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 ht="15.75">
      <c r="A98" s="26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 ht="15.75">
      <c r="A99" s="26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 ht="15.75">
      <c r="A100" s="26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 ht="15.75">
      <c r="A101" s="26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 ht="15.75">
      <c r="A102" s="26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 ht="15.75">
      <c r="A103" s="26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 ht="15.75">
      <c r="A104" s="26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 ht="15.75">
      <c r="A105" s="26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 ht="15.75">
      <c r="A106" s="26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 ht="15.75">
      <c r="A107" s="26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 ht="15.75">
      <c r="A108" s="26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 ht="15.75">
      <c r="A109" s="26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 ht="15.75">
      <c r="A110" s="26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 ht="15.75">
      <c r="A111" s="26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 ht="15.75">
      <c r="A112" s="26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 ht="15.75">
      <c r="A113" s="26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 ht="15.75">
      <c r="A114" s="26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 ht="15.75">
      <c r="A115" s="26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 ht="15.75">
      <c r="A116" s="26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 ht="15.75">
      <c r="A117" s="26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 ht="15.75">
      <c r="A118" s="26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 ht="15.75">
      <c r="A119" s="26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 ht="15.75">
      <c r="A120" s="26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 ht="15.75">
      <c r="A121" s="26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 ht="15.75">
      <c r="A122" s="26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 ht="15.75">
      <c r="A123" s="26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 ht="15.75">
      <c r="A124" s="26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 ht="15.75">
      <c r="A125" s="26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 ht="15.75">
      <c r="A126" s="26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 ht="15.75">
      <c r="A127" s="26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 ht="15.75">
      <c r="A128" s="26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 ht="15.75">
      <c r="A129" s="26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 ht="15.75">
      <c r="A130" s="26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 ht="15.75">
      <c r="A131" s="26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 ht="15.75">
      <c r="A132" s="26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 ht="15.75">
      <c r="A133" s="26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 ht="15.75">
      <c r="A134" s="26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 ht="15.75">
      <c r="A135" s="26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 ht="15.75">
      <c r="A136" s="26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 ht="15.75">
      <c r="A137" s="26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 ht="15.75">
      <c r="A138" s="26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 ht="15.75">
      <c r="A139" s="26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 ht="15.75">
      <c r="A140" s="26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 ht="15.75">
      <c r="A141" s="26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 ht="15.75">
      <c r="A142" s="26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 ht="15.75">
      <c r="A143" s="26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 ht="15.75">
      <c r="A144" s="26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 ht="15.75">
      <c r="A145" s="26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 ht="15.75">
      <c r="A146" s="26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 ht="15.75">
      <c r="A147" s="26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 ht="15.75">
      <c r="A148" s="26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 ht="15.75">
      <c r="A149" s="26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 ht="15.75">
      <c r="A150" s="26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 ht="15.75">
      <c r="A151" s="26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 ht="15.75">
      <c r="A152" s="26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 ht="15.75">
      <c r="A153" s="26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 ht="15.75">
      <c r="A154" s="26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 ht="15.75">
      <c r="A155" s="26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 ht="15.75">
      <c r="A156" s="26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 ht="15.75">
      <c r="A157" s="26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 ht="15.75">
      <c r="A158" s="26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 ht="15.75">
      <c r="A159" s="26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 ht="15.75">
      <c r="A160" s="26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 ht="15.75">
      <c r="A161" s="26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 ht="15.75">
      <c r="A162" s="26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 ht="15.75">
      <c r="A163" s="26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 ht="15.75">
      <c r="A164" s="26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 ht="15.75">
      <c r="A165" s="26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 ht="15.75">
      <c r="A166" s="26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 ht="15.75">
      <c r="A167" s="26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 ht="15.75">
      <c r="A168" s="26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 ht="15.75">
      <c r="A169" s="26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 ht="15.75">
      <c r="A170" s="26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 ht="15.75">
      <c r="A171" s="26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 ht="15.75">
      <c r="A172" s="26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 ht="15.75">
      <c r="A173" s="26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 ht="15.75">
      <c r="A174" s="26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 ht="15.75">
      <c r="A175" s="26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 ht="15.75">
      <c r="A176" s="26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 ht="15.75">
      <c r="A177" s="26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 ht="15.75">
      <c r="A178" s="26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 ht="15.75">
      <c r="A179" s="26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 ht="15.75">
      <c r="A180" s="26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 ht="15.75">
      <c r="A181" s="26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 ht="15.75">
      <c r="A182" s="26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 ht="15.75">
      <c r="A183" s="26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 ht="15.75">
      <c r="A184" s="26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 ht="15.75">
      <c r="A185" s="26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 ht="15.75">
      <c r="A186" s="26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 ht="15.75">
      <c r="A187" s="26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 ht="15.75">
      <c r="A188" s="26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 ht="15.75">
      <c r="A189" s="26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 ht="15.75">
      <c r="A190" s="26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 ht="15.75">
      <c r="A191" s="26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 ht="15.75">
      <c r="A192" s="26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 ht="15.75">
      <c r="A193" s="26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 ht="15.75">
      <c r="A194" s="26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 ht="15.75">
      <c r="A195" s="26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 ht="15.75">
      <c r="A196" s="26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 spans="1:26" ht="15.75">
      <c r="A197" s="26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</sheetData>
  <mergeCells count="1">
    <mergeCell ref="A1:F1"/>
  </mergeCells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02"/>
  <sheetViews>
    <sheetView showGridLines="0" zoomScaleNormal="100" zoomScaleSheetLayoutView="100" workbookViewId="0">
      <pane ySplit="2" topLeftCell="A18" activePane="bottomLeft" state="frozen"/>
      <selection pane="bottomLeft" sqref="A1:H1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4" width="11.25" customWidth="1"/>
    <col min="5" max="5" width="12" customWidth="1"/>
    <col min="6" max="6" width="13.75" customWidth="1"/>
    <col min="7" max="7" width="6.125" customWidth="1"/>
    <col min="8" max="8" width="48.25" customWidth="1"/>
    <col min="9" max="28" width="9.125" customWidth="1"/>
  </cols>
  <sheetData>
    <row r="1" spans="1:28" ht="37.5" customHeight="1">
      <c r="A1" s="173" t="s">
        <v>27</v>
      </c>
      <c r="B1" s="172"/>
      <c r="C1" s="172"/>
      <c r="D1" s="172"/>
      <c r="E1" s="172"/>
      <c r="F1" s="172"/>
      <c r="G1" s="172"/>
      <c r="H1" s="17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2.5" customHeight="1">
      <c r="A2" s="30" t="s">
        <v>1</v>
      </c>
      <c r="B2" s="31" t="s">
        <v>2</v>
      </c>
      <c r="C2" s="31" t="s">
        <v>3</v>
      </c>
      <c r="D2" s="32" t="s">
        <v>4</v>
      </c>
      <c r="E2" s="33" t="s">
        <v>28</v>
      </c>
      <c r="F2" s="33" t="s">
        <v>29</v>
      </c>
      <c r="G2" s="31" t="s">
        <v>6</v>
      </c>
      <c r="H2" s="34" t="s">
        <v>30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8.75" customHeight="1">
      <c r="A3" s="35">
        <v>43891</v>
      </c>
      <c r="B3" s="36" t="s">
        <v>10</v>
      </c>
      <c r="C3" s="36" t="s">
        <v>31</v>
      </c>
      <c r="D3" s="37"/>
      <c r="E3" s="38"/>
      <c r="F3" s="38">
        <v>30209.99</v>
      </c>
      <c r="G3" s="36"/>
      <c r="H3" s="36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18.75" customHeight="1">
      <c r="A4" s="39">
        <v>43891</v>
      </c>
      <c r="B4" s="8" t="s">
        <v>7</v>
      </c>
      <c r="C4" s="8" t="s">
        <v>8</v>
      </c>
      <c r="D4" s="9"/>
      <c r="E4" s="12"/>
      <c r="F4" s="12">
        <v>10939</v>
      </c>
      <c r="G4" s="8"/>
      <c r="H4" s="8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18.75" customHeight="1">
      <c r="A5" s="35">
        <v>43893</v>
      </c>
      <c r="B5" s="36" t="s">
        <v>7</v>
      </c>
      <c r="C5" s="36" t="s">
        <v>9</v>
      </c>
      <c r="D5" s="37"/>
      <c r="E5" s="38"/>
      <c r="F5" s="38">
        <v>4161.1000000000004</v>
      </c>
      <c r="G5" s="36"/>
      <c r="H5" s="36" t="s">
        <v>32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8.75" customHeight="1">
      <c r="A6" s="39">
        <v>43893</v>
      </c>
      <c r="B6" s="8" t="s">
        <v>10</v>
      </c>
      <c r="C6" s="8" t="s">
        <v>11</v>
      </c>
      <c r="D6" s="9"/>
      <c r="E6" s="12"/>
      <c r="F6" s="12">
        <v>14880.62</v>
      </c>
      <c r="G6" s="8"/>
      <c r="H6" s="8" t="s">
        <v>33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18.75" customHeight="1">
      <c r="A7" s="35">
        <v>43893</v>
      </c>
      <c r="B7" s="36" t="s">
        <v>7</v>
      </c>
      <c r="C7" s="36" t="s">
        <v>12</v>
      </c>
      <c r="D7" s="37"/>
      <c r="E7" s="38"/>
      <c r="F7" s="38">
        <v>15126</v>
      </c>
      <c r="G7" s="36"/>
      <c r="H7" s="36" t="s">
        <v>34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8.75" customHeight="1">
      <c r="A8" s="39">
        <v>43895</v>
      </c>
      <c r="B8" s="8" t="s">
        <v>7</v>
      </c>
      <c r="C8" s="8" t="s">
        <v>13</v>
      </c>
      <c r="D8" s="9"/>
      <c r="E8" s="12"/>
      <c r="F8" s="12">
        <v>509.8</v>
      </c>
      <c r="G8" s="8"/>
      <c r="H8" s="8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18.75" customHeight="1">
      <c r="A9" s="35">
        <v>43895</v>
      </c>
      <c r="B9" s="36" t="s">
        <v>10</v>
      </c>
      <c r="C9" s="36" t="s">
        <v>13</v>
      </c>
      <c r="D9" s="37"/>
      <c r="E9" s="38"/>
      <c r="F9" s="38">
        <v>507</v>
      </c>
      <c r="G9" s="36"/>
      <c r="H9" s="36" t="s">
        <v>35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8.75" customHeight="1">
      <c r="A10" s="39">
        <v>43895</v>
      </c>
      <c r="B10" s="8" t="s">
        <v>10</v>
      </c>
      <c r="C10" s="8" t="s">
        <v>36</v>
      </c>
      <c r="D10" s="9"/>
      <c r="E10" s="12"/>
      <c r="F10" s="12"/>
      <c r="G10" s="8"/>
      <c r="H10" s="8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18.75" customHeight="1">
      <c r="A11" s="35">
        <v>43897</v>
      </c>
      <c r="B11" s="36" t="s">
        <v>10</v>
      </c>
      <c r="C11" s="36" t="s">
        <v>14</v>
      </c>
      <c r="D11" s="37"/>
      <c r="E11" s="38"/>
      <c r="F11" s="38">
        <v>15548.85</v>
      </c>
      <c r="G11" s="36"/>
      <c r="H11" s="36" t="s">
        <v>37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8.75" customHeight="1">
      <c r="A12" s="39">
        <v>43899</v>
      </c>
      <c r="B12" s="40"/>
      <c r="C12" s="8" t="s">
        <v>38</v>
      </c>
      <c r="D12" s="9"/>
      <c r="E12" s="12"/>
      <c r="F12" s="12"/>
      <c r="G12" s="8"/>
      <c r="H12" s="8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18.75" customHeight="1">
      <c r="A13" s="35">
        <v>43899</v>
      </c>
      <c r="B13" s="36" t="s">
        <v>10</v>
      </c>
      <c r="C13" s="36" t="s">
        <v>15</v>
      </c>
      <c r="D13" s="37"/>
      <c r="E13" s="38"/>
      <c r="F13" s="38">
        <v>304.75</v>
      </c>
      <c r="G13" s="36"/>
      <c r="H13" s="36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8.75" customHeight="1">
      <c r="A14" s="39">
        <v>43899</v>
      </c>
      <c r="B14" s="8" t="s">
        <v>7</v>
      </c>
      <c r="C14" s="8" t="s">
        <v>15</v>
      </c>
      <c r="D14" s="9"/>
      <c r="E14" s="12"/>
      <c r="F14" s="12">
        <v>0</v>
      </c>
      <c r="G14" s="8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18.75" customHeight="1">
      <c r="A15" s="35">
        <v>43899</v>
      </c>
      <c r="B15" s="36" t="s">
        <v>10</v>
      </c>
      <c r="C15" s="36" t="s">
        <v>8</v>
      </c>
      <c r="D15" s="37"/>
      <c r="E15" s="38"/>
      <c r="F15" s="38">
        <v>6348</v>
      </c>
      <c r="G15" s="36"/>
      <c r="H15" s="36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8.75" customHeight="1">
      <c r="A16" s="41">
        <v>43905</v>
      </c>
      <c r="B16" s="36"/>
      <c r="C16" s="36" t="s">
        <v>39</v>
      </c>
      <c r="D16" s="37"/>
      <c r="E16" s="38"/>
      <c r="F16" s="38">
        <v>20.7</v>
      </c>
      <c r="G16" s="36"/>
      <c r="H16" s="36" t="s">
        <v>40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18.75" customHeight="1">
      <c r="A17" s="39">
        <v>43906</v>
      </c>
      <c r="B17" s="8" t="s">
        <v>10</v>
      </c>
      <c r="C17" s="8" t="s">
        <v>41</v>
      </c>
      <c r="D17" s="9"/>
      <c r="E17" s="12"/>
      <c r="F17" s="12">
        <v>35024.89</v>
      </c>
      <c r="G17" s="8"/>
      <c r="H17" s="8" t="s">
        <v>42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8.75" customHeight="1">
      <c r="A18" s="35">
        <v>43911</v>
      </c>
      <c r="B18" s="36" t="s">
        <v>7</v>
      </c>
      <c r="C18" s="36" t="s">
        <v>11</v>
      </c>
      <c r="D18" s="37"/>
      <c r="E18" s="38"/>
      <c r="F18" s="38">
        <v>11390.95</v>
      </c>
      <c r="G18" s="36"/>
      <c r="H18" s="36" t="s">
        <v>43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8.75" customHeight="1">
      <c r="A19" s="39">
        <v>43911</v>
      </c>
      <c r="B19" s="8" t="s">
        <v>10</v>
      </c>
      <c r="C19" s="8" t="s">
        <v>19</v>
      </c>
      <c r="D19" s="9"/>
      <c r="E19" s="12"/>
      <c r="F19" s="12">
        <v>5461</v>
      </c>
      <c r="G19" s="8"/>
      <c r="H19" s="8" t="s">
        <v>44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8.75" customHeight="1">
      <c r="A20" s="35">
        <v>43912</v>
      </c>
      <c r="B20" s="36" t="s">
        <v>7</v>
      </c>
      <c r="C20" s="36" t="s">
        <v>20</v>
      </c>
      <c r="D20" s="37"/>
      <c r="E20" s="38"/>
      <c r="F20" s="38">
        <v>14707.9</v>
      </c>
      <c r="G20" s="36"/>
      <c r="H20" s="36" t="s">
        <v>45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8.75" customHeight="1">
      <c r="A21" s="39">
        <v>43913</v>
      </c>
      <c r="B21" s="8" t="s">
        <v>10</v>
      </c>
      <c r="C21" s="8" t="s">
        <v>21</v>
      </c>
      <c r="D21" s="9"/>
      <c r="E21" s="12"/>
      <c r="F21" s="12">
        <v>11552</v>
      </c>
      <c r="G21" s="8"/>
      <c r="H21" s="8" t="s">
        <v>46</v>
      </c>
      <c r="I21" s="11"/>
      <c r="J21" s="11"/>
      <c r="K21" s="16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8.75" customHeight="1">
      <c r="A22" s="35">
        <v>43913</v>
      </c>
      <c r="B22" s="36" t="s">
        <v>7</v>
      </c>
      <c r="C22" s="36" t="s">
        <v>14</v>
      </c>
      <c r="D22" s="37"/>
      <c r="E22" s="42"/>
      <c r="F22" s="38">
        <v>15297.26</v>
      </c>
      <c r="G22" s="36"/>
      <c r="H22" s="36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8.75" customHeight="1">
      <c r="A23" s="39">
        <v>43917</v>
      </c>
      <c r="B23" s="8" t="s">
        <v>10</v>
      </c>
      <c r="C23" s="8" t="s">
        <v>9</v>
      </c>
      <c r="D23" s="9"/>
      <c r="E23" s="12"/>
      <c r="F23" s="12">
        <v>6074</v>
      </c>
      <c r="G23" s="8"/>
      <c r="H23" s="8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18.75" customHeight="1">
      <c r="A24" s="35">
        <v>43917</v>
      </c>
      <c r="B24" s="36" t="s">
        <v>10</v>
      </c>
      <c r="C24" s="36" t="s">
        <v>23</v>
      </c>
      <c r="D24" s="37"/>
      <c r="E24" s="43"/>
      <c r="F24" s="38">
        <v>978</v>
      </c>
      <c r="G24" s="36"/>
      <c r="H24" s="36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 spans="1:28" ht="18.75" customHeight="1">
      <c r="A25" s="39">
        <v>43918</v>
      </c>
      <c r="B25" s="8" t="s">
        <v>10</v>
      </c>
      <c r="C25" s="8" t="s">
        <v>47</v>
      </c>
      <c r="D25" s="9"/>
      <c r="E25" s="12"/>
      <c r="F25" s="12"/>
      <c r="G25" s="8"/>
      <c r="H25" s="8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 spans="1:28" ht="18.75" customHeight="1">
      <c r="A26" s="39">
        <v>43919</v>
      </c>
      <c r="B26" s="8"/>
      <c r="C26" s="8" t="s">
        <v>24</v>
      </c>
      <c r="D26" s="9"/>
      <c r="E26" s="12"/>
      <c r="F26" s="12">
        <v>0</v>
      </c>
      <c r="G26" s="8"/>
      <c r="H26" s="8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 spans="1:28" ht="18.75" customHeight="1">
      <c r="A27" s="44">
        <v>43920</v>
      </c>
      <c r="B27" s="8" t="s">
        <v>25</v>
      </c>
      <c r="C27" s="8" t="s">
        <v>26</v>
      </c>
      <c r="D27" s="9">
        <v>5343</v>
      </c>
      <c r="E27" s="12"/>
      <c r="F27" s="12"/>
      <c r="G27" s="8"/>
      <c r="H27" s="8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 spans="1:28" ht="22.5" customHeight="1">
      <c r="A28" s="45"/>
      <c r="B28" s="46"/>
      <c r="C28" s="46"/>
      <c r="D28" s="47">
        <f>SUM(D3:D27)</f>
        <v>5343</v>
      </c>
      <c r="E28" s="48"/>
      <c r="F28" s="48">
        <f>SUM(F3:F27)</f>
        <v>199041.81000000003</v>
      </c>
      <c r="G28" s="46"/>
      <c r="H28" s="46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</row>
    <row r="29" spans="1:28" ht="22.5" customHeight="1">
      <c r="A29" s="16"/>
      <c r="B29" s="16"/>
      <c r="C29" s="16"/>
      <c r="D29" s="16"/>
      <c r="E29" s="16"/>
      <c r="F29" s="16"/>
      <c r="G29" s="16"/>
      <c r="H29" s="16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</row>
    <row r="30" spans="1:28" ht="22.5" customHeight="1">
      <c r="A30" s="16"/>
      <c r="B30" s="16"/>
      <c r="C30" s="16"/>
      <c r="D30" s="16"/>
      <c r="E30" s="16"/>
      <c r="F30" s="16"/>
      <c r="G30" s="16"/>
      <c r="H30" s="16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</row>
    <row r="31" spans="1:28" ht="18.75" customHeight="1">
      <c r="A31" s="22"/>
      <c r="B31" s="23"/>
      <c r="C31" s="23"/>
      <c r="D31" s="24"/>
      <c r="E31" s="25"/>
      <c r="F31" s="25"/>
      <c r="G31" s="23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 spans="1:28" ht="15.75">
      <c r="A32" s="26"/>
      <c r="B32" s="16"/>
      <c r="C32" s="16"/>
      <c r="D32" s="27"/>
      <c r="E32" s="28"/>
      <c r="F32" s="28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 spans="1:28" ht="15.75">
      <c r="A33" s="26"/>
      <c r="B33" s="16"/>
      <c r="C33" s="16"/>
      <c r="D33" s="27"/>
      <c r="E33" s="28"/>
      <c r="F33" s="28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 spans="1:28" ht="15.75">
      <c r="A34" s="26"/>
      <c r="B34" s="16"/>
      <c r="C34" s="16"/>
      <c r="D34" s="27"/>
      <c r="E34" s="28"/>
      <c r="F34" s="28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 spans="1:28" ht="15.75">
      <c r="A35" s="26"/>
      <c r="B35" s="16"/>
      <c r="C35" s="16"/>
      <c r="D35" s="27"/>
      <c r="E35" s="28"/>
      <c r="F35" s="28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 spans="1:28" ht="15.75">
      <c r="A36" s="26"/>
      <c r="B36" s="16"/>
      <c r="C36" s="16"/>
      <c r="D36" s="27"/>
      <c r="E36" s="28"/>
      <c r="F36" s="28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 spans="1:28" ht="15.75">
      <c r="A37" s="26"/>
      <c r="B37" s="16"/>
      <c r="C37" s="16"/>
      <c r="D37" s="27"/>
      <c r="E37" s="28"/>
      <c r="F37" s="28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 spans="1:28" ht="15.75">
      <c r="A38" s="26"/>
      <c r="B38" s="16"/>
      <c r="C38" s="16"/>
      <c r="D38" s="27"/>
      <c r="E38" s="28"/>
      <c r="F38" s="28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 spans="1:28" ht="15.75">
      <c r="A39" s="26"/>
      <c r="B39" s="16"/>
      <c r="C39" s="16"/>
      <c r="D39" s="27"/>
      <c r="E39" s="28"/>
      <c r="F39" s="28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spans="1:28" ht="15.75">
      <c r="A40" s="26"/>
      <c r="B40" s="16"/>
      <c r="C40" s="16"/>
      <c r="D40" s="27"/>
      <c r="E40" s="28"/>
      <c r="F40" s="28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 spans="1:28" ht="15.75">
      <c r="A41" s="26"/>
      <c r="B41" s="16"/>
      <c r="C41" s="16"/>
      <c r="D41" s="27"/>
      <c r="E41" s="28"/>
      <c r="F41" s="28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 spans="1:28" ht="15.75">
      <c r="A42" s="26"/>
      <c r="B42" s="16"/>
      <c r="C42" s="16"/>
      <c r="D42" s="27"/>
      <c r="E42" s="28"/>
      <c r="F42" s="28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 spans="1:28" ht="15.75">
      <c r="A43" s="26"/>
      <c r="B43" s="16"/>
      <c r="C43" s="16"/>
      <c r="D43" s="27"/>
      <c r="E43" s="28"/>
      <c r="F43" s="28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 spans="1:28" ht="15.75">
      <c r="A44" s="26"/>
      <c r="B44" s="16"/>
      <c r="C44" s="16"/>
      <c r="D44" s="27"/>
      <c r="E44" s="28"/>
      <c r="F44" s="28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 spans="1:28" ht="15.75">
      <c r="A45" s="26"/>
      <c r="B45" s="16"/>
      <c r="C45" s="16"/>
      <c r="D45" s="27"/>
      <c r="E45" s="28"/>
      <c r="F45" s="28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 spans="1:28" ht="15.75">
      <c r="A46" s="26"/>
      <c r="B46" s="16"/>
      <c r="C46" s="16"/>
      <c r="D46" s="27"/>
      <c r="E46" s="28"/>
      <c r="F46" s="28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 spans="1:28" ht="15.75">
      <c r="A47" s="26"/>
      <c r="B47" s="16"/>
      <c r="C47" s="16"/>
      <c r="D47" s="27"/>
      <c r="E47" s="28"/>
      <c r="F47" s="28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 spans="1:28" ht="15.75">
      <c r="A48" s="26"/>
      <c r="B48" s="16"/>
      <c r="C48" s="16"/>
      <c r="D48" s="27"/>
      <c r="E48" s="28"/>
      <c r="F48" s="28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spans="1:28" ht="15.75">
      <c r="A49" s="26"/>
      <c r="B49" s="16"/>
      <c r="C49" s="16"/>
      <c r="D49" s="27"/>
      <c r="E49" s="28"/>
      <c r="F49" s="28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 spans="1:28" ht="15.75">
      <c r="A50" s="26"/>
      <c r="B50" s="16"/>
      <c r="C50" s="16"/>
      <c r="D50" s="27"/>
      <c r="E50" s="28"/>
      <c r="F50" s="28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 spans="1:28" ht="15.75">
      <c r="A51" s="26"/>
      <c r="B51" s="16"/>
      <c r="C51" s="16"/>
      <c r="D51" s="27"/>
      <c r="E51" s="28"/>
      <c r="F51" s="28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 spans="1:28" ht="15.75">
      <c r="A52" s="26"/>
      <c r="B52" s="16"/>
      <c r="C52" s="16"/>
      <c r="D52" s="27"/>
      <c r="E52" s="28"/>
      <c r="F52" s="28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 spans="1:28" ht="15.75">
      <c r="A53" s="26"/>
      <c r="B53" s="16"/>
      <c r="C53" s="16"/>
      <c r="D53" s="27"/>
      <c r="E53" s="28"/>
      <c r="F53" s="2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 spans="1:28" ht="15.75">
      <c r="A54" s="26"/>
      <c r="B54" s="16"/>
      <c r="C54" s="16"/>
      <c r="D54" s="27"/>
      <c r="E54" s="28"/>
      <c r="F54" s="28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 spans="1:28" ht="15.75">
      <c r="A55" s="26"/>
      <c r="B55" s="16"/>
      <c r="C55" s="16"/>
      <c r="D55" s="27"/>
      <c r="E55" s="28"/>
      <c r="F55" s="28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 spans="1:28" ht="15.75">
      <c r="A56" s="26"/>
      <c r="B56" s="16"/>
      <c r="C56" s="16"/>
      <c r="D56" s="27"/>
      <c r="E56" s="28"/>
      <c r="F56" s="2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 spans="1:28" ht="15.75">
      <c r="A57" s="26"/>
      <c r="B57" s="16"/>
      <c r="C57" s="16"/>
      <c r="D57" s="27"/>
      <c r="E57" s="28"/>
      <c r="F57" s="2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spans="1:28" ht="15.75">
      <c r="A58" s="26"/>
      <c r="B58" s="16"/>
      <c r="C58" s="16"/>
      <c r="D58" s="27"/>
      <c r="E58" s="28"/>
      <c r="F58" s="2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 spans="1:28" ht="15.75">
      <c r="A59" s="26"/>
      <c r="B59" s="16"/>
      <c r="C59" s="16"/>
      <c r="D59" s="27"/>
      <c r="E59" s="28"/>
      <c r="F59" s="2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 spans="1:28" ht="15.75">
      <c r="A60" s="26"/>
      <c r="B60" s="16"/>
      <c r="C60" s="16"/>
      <c r="D60" s="27"/>
      <c r="E60" s="28"/>
      <c r="F60" s="2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 spans="1:28" ht="15.75">
      <c r="A61" s="26"/>
      <c r="B61" s="16"/>
      <c r="C61" s="16"/>
      <c r="D61" s="27"/>
      <c r="E61" s="28"/>
      <c r="F61" s="2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 spans="1:28" ht="15.75">
      <c r="A62" s="26"/>
      <c r="B62" s="16"/>
      <c r="C62" s="16"/>
      <c r="D62" s="27"/>
      <c r="E62" s="28"/>
      <c r="F62" s="2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 spans="1:28" ht="15.75">
      <c r="A63" s="26"/>
      <c r="B63" s="16"/>
      <c r="C63" s="16"/>
      <c r="D63" s="27"/>
      <c r="E63" s="28"/>
      <c r="F63" s="2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 spans="1:28" ht="15.75">
      <c r="A64" s="26"/>
      <c r="B64" s="16"/>
      <c r="C64" s="16"/>
      <c r="D64" s="27"/>
      <c r="E64" s="28"/>
      <c r="F64" s="2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 spans="1:28" ht="15.75">
      <c r="A65" s="26"/>
      <c r="B65" s="16"/>
      <c r="C65" s="16"/>
      <c r="D65" s="27"/>
      <c r="E65" s="28"/>
      <c r="F65" s="2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1:28" ht="15.75">
      <c r="A66" s="26"/>
      <c r="B66" s="16"/>
      <c r="C66" s="16"/>
      <c r="D66" s="27"/>
      <c r="E66" s="28"/>
      <c r="F66" s="2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1:28" ht="15.75">
      <c r="A67" s="26"/>
      <c r="B67" s="16"/>
      <c r="C67" s="16"/>
      <c r="D67" s="27"/>
      <c r="E67" s="28"/>
      <c r="F67" s="2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1:28" ht="15.75">
      <c r="A68" s="26"/>
      <c r="B68" s="16"/>
      <c r="C68" s="16"/>
      <c r="D68" s="27"/>
      <c r="E68" s="28"/>
      <c r="F68" s="2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1:28" ht="15.75">
      <c r="A69" s="26"/>
      <c r="B69" s="16"/>
      <c r="C69" s="16"/>
      <c r="D69" s="27"/>
      <c r="E69" s="28"/>
      <c r="F69" s="2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1:28" ht="15.75">
      <c r="A70" s="26"/>
      <c r="B70" s="16"/>
      <c r="C70" s="16"/>
      <c r="D70" s="27"/>
      <c r="E70" s="28"/>
      <c r="F70" s="2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1:28" ht="15.75">
      <c r="A71" s="26"/>
      <c r="B71" s="16"/>
      <c r="C71" s="16"/>
      <c r="D71" s="27"/>
      <c r="E71" s="28"/>
      <c r="F71" s="2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1:28" ht="15.75">
      <c r="A72" s="26"/>
      <c r="B72" s="16"/>
      <c r="C72" s="16"/>
      <c r="D72" s="27"/>
      <c r="E72" s="28"/>
      <c r="F72" s="28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1:28" ht="15.75">
      <c r="A73" s="26"/>
      <c r="B73" s="16"/>
      <c r="C73" s="16"/>
      <c r="D73" s="27"/>
      <c r="E73" s="28"/>
      <c r="F73" s="28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1:28" ht="15.75">
      <c r="A74" s="26"/>
      <c r="B74" s="16"/>
      <c r="C74" s="16"/>
      <c r="D74" s="27"/>
      <c r="E74" s="28"/>
      <c r="F74" s="2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1:28" ht="15.75">
      <c r="A75" s="26"/>
      <c r="B75" s="16"/>
      <c r="C75" s="16"/>
      <c r="D75" s="27"/>
      <c r="E75" s="28"/>
      <c r="F75" s="2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1:28" ht="15.75">
      <c r="A76" s="26"/>
      <c r="B76" s="16"/>
      <c r="C76" s="16"/>
      <c r="D76" s="27"/>
      <c r="E76" s="28"/>
      <c r="F76" s="28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1:28" ht="15.75">
      <c r="A77" s="26"/>
      <c r="B77" s="16"/>
      <c r="C77" s="16"/>
      <c r="D77" s="27"/>
      <c r="E77" s="28"/>
      <c r="F77" s="28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1:28" ht="15.75">
      <c r="A78" s="26"/>
      <c r="B78" s="16"/>
      <c r="C78" s="16"/>
      <c r="D78" s="27"/>
      <c r="E78" s="28"/>
      <c r="F78" s="28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1:28" ht="15.75">
      <c r="A79" s="26"/>
      <c r="B79" s="16"/>
      <c r="C79" s="16"/>
      <c r="D79" s="27"/>
      <c r="E79" s="28"/>
      <c r="F79" s="2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1:28" ht="15.75">
      <c r="A80" s="26"/>
      <c r="B80" s="16"/>
      <c r="C80" s="16"/>
      <c r="D80" s="27"/>
      <c r="E80" s="28"/>
      <c r="F80" s="28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1:28" ht="15.75">
      <c r="A81" s="26"/>
      <c r="B81" s="16"/>
      <c r="C81" s="16"/>
      <c r="D81" s="27"/>
      <c r="E81" s="28"/>
      <c r="F81" s="28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 spans="1:28" ht="15.75">
      <c r="A82" s="26"/>
      <c r="B82" s="16"/>
      <c r="C82" s="16"/>
      <c r="D82" s="27"/>
      <c r="E82" s="28"/>
      <c r="F82" s="28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 spans="1:28" ht="15.75">
      <c r="A83" s="26"/>
      <c r="B83" s="16"/>
      <c r="C83" s="16"/>
      <c r="D83" s="27"/>
      <c r="E83" s="28"/>
      <c r="F83" s="28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 spans="1:28" ht="15.75">
      <c r="A84" s="26"/>
      <c r="B84" s="16"/>
      <c r="C84" s="16"/>
      <c r="D84" s="27"/>
      <c r="E84" s="28"/>
      <c r="F84" s="28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 spans="1:28" ht="15.75">
      <c r="A85" s="26"/>
      <c r="B85" s="16"/>
      <c r="C85" s="16"/>
      <c r="D85" s="27"/>
      <c r="E85" s="28"/>
      <c r="F85" s="28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 spans="1:28" ht="15.75">
      <c r="A86" s="26"/>
      <c r="B86" s="16"/>
      <c r="C86" s="16"/>
      <c r="D86" s="27"/>
      <c r="E86" s="28"/>
      <c r="F86" s="28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 spans="1:28" ht="15.75">
      <c r="A87" s="26"/>
      <c r="B87" s="16"/>
      <c r="C87" s="16"/>
      <c r="D87" s="27"/>
      <c r="E87" s="28"/>
      <c r="F87" s="28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 spans="1:28" ht="15.75">
      <c r="A88" s="26"/>
      <c r="B88" s="16"/>
      <c r="C88" s="16"/>
      <c r="D88" s="27"/>
      <c r="E88" s="28"/>
      <c r="F88" s="28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 spans="1:28" ht="15.75">
      <c r="A89" s="26"/>
      <c r="B89" s="16"/>
      <c r="C89" s="16"/>
      <c r="D89" s="27"/>
      <c r="E89" s="28"/>
      <c r="F89" s="28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 spans="1:28" ht="15.75">
      <c r="A90" s="26"/>
      <c r="B90" s="16"/>
      <c r="C90" s="16"/>
      <c r="D90" s="27"/>
      <c r="E90" s="28"/>
      <c r="F90" s="28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 spans="1:28" ht="15.75">
      <c r="A91" s="26"/>
      <c r="B91" s="16"/>
      <c r="C91" s="16"/>
      <c r="D91" s="27"/>
      <c r="E91" s="28"/>
      <c r="F91" s="28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 spans="1:28" ht="15.75">
      <c r="A92" s="26"/>
      <c r="B92" s="16"/>
      <c r="C92" s="16"/>
      <c r="D92" s="27"/>
      <c r="E92" s="28"/>
      <c r="F92" s="28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 spans="1:28" ht="15.75">
      <c r="A93" s="26"/>
      <c r="B93" s="16"/>
      <c r="C93" s="16"/>
      <c r="D93" s="27"/>
      <c r="E93" s="28"/>
      <c r="F93" s="28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 spans="1:28" ht="15.75">
      <c r="A94" s="26"/>
      <c r="B94" s="16"/>
      <c r="C94" s="16"/>
      <c r="D94" s="27"/>
      <c r="E94" s="28"/>
      <c r="F94" s="28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 spans="1:28" ht="15.75">
      <c r="A95" s="26"/>
      <c r="B95" s="16"/>
      <c r="C95" s="16"/>
      <c r="D95" s="27"/>
      <c r="E95" s="28"/>
      <c r="F95" s="28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 spans="1:28" ht="15.75">
      <c r="A96" s="26"/>
      <c r="B96" s="16"/>
      <c r="C96" s="16"/>
      <c r="D96" s="27"/>
      <c r="E96" s="28"/>
      <c r="F96" s="28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 spans="1:28" ht="15.75">
      <c r="A97" s="26"/>
      <c r="B97" s="16"/>
      <c r="C97" s="16"/>
      <c r="D97" s="27"/>
      <c r="E97" s="28"/>
      <c r="F97" s="28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 spans="1:28" ht="15.75">
      <c r="A98" s="26"/>
      <c r="B98" s="16"/>
      <c r="C98" s="16"/>
      <c r="D98" s="27"/>
      <c r="E98" s="28"/>
      <c r="F98" s="28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 spans="1:28" ht="15.75">
      <c r="A99" s="26"/>
      <c r="B99" s="16"/>
      <c r="C99" s="16"/>
      <c r="D99" s="27"/>
      <c r="E99" s="28"/>
      <c r="F99" s="28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 spans="1:28" ht="15.75">
      <c r="A100" s="26"/>
      <c r="B100" s="16"/>
      <c r="C100" s="16"/>
      <c r="D100" s="27"/>
      <c r="E100" s="28"/>
      <c r="F100" s="28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 spans="1:28" ht="15.75">
      <c r="A101" s="26"/>
      <c r="B101" s="16"/>
      <c r="C101" s="16"/>
      <c r="D101" s="27"/>
      <c r="E101" s="28"/>
      <c r="F101" s="28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 spans="1:28" ht="15.75">
      <c r="A102" s="26"/>
      <c r="B102" s="16"/>
      <c r="C102" s="16"/>
      <c r="D102" s="27"/>
      <c r="E102" s="28"/>
      <c r="F102" s="28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 spans="1:28" ht="15.75">
      <c r="A103" s="26"/>
      <c r="B103" s="16"/>
      <c r="C103" s="16"/>
      <c r="D103" s="27"/>
      <c r="E103" s="28"/>
      <c r="F103" s="28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 spans="1:28" ht="15.75">
      <c r="A104" s="26"/>
      <c r="B104" s="16"/>
      <c r="C104" s="16"/>
      <c r="D104" s="27"/>
      <c r="E104" s="28"/>
      <c r="F104" s="28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 spans="1:28" ht="15.75">
      <c r="A105" s="26"/>
      <c r="B105" s="16"/>
      <c r="C105" s="16"/>
      <c r="D105" s="27"/>
      <c r="E105" s="28"/>
      <c r="F105" s="28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 spans="1:28" ht="15.75">
      <c r="A106" s="26"/>
      <c r="B106" s="16"/>
      <c r="C106" s="16"/>
      <c r="D106" s="27"/>
      <c r="E106" s="28"/>
      <c r="F106" s="28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 spans="1:28" ht="15.75">
      <c r="A107" s="26"/>
      <c r="B107" s="16"/>
      <c r="C107" s="16"/>
      <c r="D107" s="27"/>
      <c r="E107" s="28"/>
      <c r="F107" s="28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 spans="1:28" ht="15.75">
      <c r="A108" s="26"/>
      <c r="B108" s="16"/>
      <c r="C108" s="16"/>
      <c r="D108" s="27"/>
      <c r="E108" s="28"/>
      <c r="F108" s="28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 spans="1:28" ht="15.75">
      <c r="A109" s="26"/>
      <c r="B109" s="16"/>
      <c r="C109" s="16"/>
      <c r="D109" s="27"/>
      <c r="E109" s="28"/>
      <c r="F109" s="28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 spans="1:28" ht="15.75">
      <c r="A110" s="26"/>
      <c r="B110" s="16"/>
      <c r="C110" s="16"/>
      <c r="D110" s="27"/>
      <c r="E110" s="28"/>
      <c r="F110" s="28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 spans="1:28" ht="15.75">
      <c r="A111" s="26"/>
      <c r="B111" s="16"/>
      <c r="C111" s="16"/>
      <c r="D111" s="27"/>
      <c r="E111" s="28"/>
      <c r="F111" s="28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 spans="1:28" ht="15.75">
      <c r="A112" s="26"/>
      <c r="B112" s="16"/>
      <c r="C112" s="16"/>
      <c r="D112" s="27"/>
      <c r="E112" s="28"/>
      <c r="F112" s="28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 spans="1:28" ht="15.75">
      <c r="A113" s="26"/>
      <c r="B113" s="16"/>
      <c r="C113" s="16"/>
      <c r="D113" s="27"/>
      <c r="E113" s="28"/>
      <c r="F113" s="28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 spans="1:28" ht="15.75">
      <c r="A114" s="26"/>
      <c r="B114" s="16"/>
      <c r="C114" s="16"/>
      <c r="D114" s="27"/>
      <c r="E114" s="28"/>
      <c r="F114" s="28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 spans="1:28" ht="15.75">
      <c r="A115" s="26"/>
      <c r="B115" s="16"/>
      <c r="C115" s="16"/>
      <c r="D115" s="27"/>
      <c r="E115" s="28"/>
      <c r="F115" s="28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 spans="1:28" ht="15.75">
      <c r="A116" s="26"/>
      <c r="B116" s="16"/>
      <c r="C116" s="16"/>
      <c r="D116" s="27"/>
      <c r="E116" s="28"/>
      <c r="F116" s="28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 spans="1:28" ht="15.75">
      <c r="A117" s="26"/>
      <c r="B117" s="16"/>
      <c r="C117" s="16"/>
      <c r="D117" s="27"/>
      <c r="E117" s="28"/>
      <c r="F117" s="28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 spans="1:28" ht="15.75">
      <c r="A118" s="26"/>
      <c r="B118" s="16"/>
      <c r="C118" s="16"/>
      <c r="D118" s="27"/>
      <c r="E118" s="28"/>
      <c r="F118" s="28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 spans="1:28" ht="15.75">
      <c r="A119" s="26"/>
      <c r="B119" s="16"/>
      <c r="C119" s="16"/>
      <c r="D119" s="27"/>
      <c r="E119" s="28"/>
      <c r="F119" s="28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 spans="1:28" ht="15.75">
      <c r="A120" s="26"/>
      <c r="B120" s="16"/>
      <c r="C120" s="16"/>
      <c r="D120" s="27"/>
      <c r="E120" s="28"/>
      <c r="F120" s="28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 spans="1:28" ht="15.75">
      <c r="A121" s="26"/>
      <c r="B121" s="16"/>
      <c r="C121" s="16"/>
      <c r="D121" s="27"/>
      <c r="E121" s="28"/>
      <c r="F121" s="28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 spans="1:28" ht="15.75">
      <c r="A122" s="26"/>
      <c r="B122" s="16"/>
      <c r="C122" s="16"/>
      <c r="D122" s="27"/>
      <c r="E122" s="28"/>
      <c r="F122" s="28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 spans="1:28" ht="15.75">
      <c r="A123" s="26"/>
      <c r="B123" s="16"/>
      <c r="C123" s="16"/>
      <c r="D123" s="27"/>
      <c r="E123" s="28"/>
      <c r="F123" s="28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 spans="1:28" ht="15.75">
      <c r="A124" s="26"/>
      <c r="B124" s="16"/>
      <c r="C124" s="16"/>
      <c r="D124" s="27"/>
      <c r="E124" s="28"/>
      <c r="F124" s="28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 spans="1:28" ht="15.75">
      <c r="A125" s="26"/>
      <c r="B125" s="16"/>
      <c r="C125" s="16"/>
      <c r="D125" s="27"/>
      <c r="E125" s="28"/>
      <c r="F125" s="28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 spans="1:28" ht="15.75">
      <c r="A126" s="26"/>
      <c r="B126" s="16"/>
      <c r="C126" s="16"/>
      <c r="D126" s="27"/>
      <c r="E126" s="28"/>
      <c r="F126" s="28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 spans="1:28" ht="15.75">
      <c r="A127" s="26"/>
      <c r="B127" s="16"/>
      <c r="C127" s="16"/>
      <c r="D127" s="27"/>
      <c r="E127" s="28"/>
      <c r="F127" s="28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 spans="1:28" ht="15.75">
      <c r="A128" s="26"/>
      <c r="B128" s="16"/>
      <c r="C128" s="16"/>
      <c r="D128" s="27"/>
      <c r="E128" s="28"/>
      <c r="F128" s="28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 spans="1:28" ht="15.75">
      <c r="A129" s="26"/>
      <c r="B129" s="16"/>
      <c r="C129" s="16"/>
      <c r="D129" s="27"/>
      <c r="E129" s="28"/>
      <c r="F129" s="28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 spans="1:28" ht="15.75">
      <c r="A130" s="26"/>
      <c r="B130" s="16"/>
      <c r="C130" s="16"/>
      <c r="D130" s="27"/>
      <c r="E130" s="28"/>
      <c r="F130" s="28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 spans="1:28" ht="15.75">
      <c r="A131" s="26"/>
      <c r="B131" s="16"/>
      <c r="C131" s="16"/>
      <c r="D131" s="27"/>
      <c r="E131" s="28"/>
      <c r="F131" s="28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 spans="1:28" ht="15.75">
      <c r="A132" s="26"/>
      <c r="B132" s="16"/>
      <c r="C132" s="16"/>
      <c r="D132" s="27"/>
      <c r="E132" s="28"/>
      <c r="F132" s="28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 spans="1:28" ht="15.75">
      <c r="A133" s="26"/>
      <c r="B133" s="16"/>
      <c r="C133" s="16"/>
      <c r="D133" s="27"/>
      <c r="E133" s="28"/>
      <c r="F133" s="28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 spans="1:28" ht="15.75">
      <c r="A134" s="26"/>
      <c r="B134" s="16"/>
      <c r="C134" s="16"/>
      <c r="D134" s="27"/>
      <c r="E134" s="28"/>
      <c r="F134" s="28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 spans="1:28" ht="15.75">
      <c r="A135" s="26"/>
      <c r="B135" s="16"/>
      <c r="C135" s="16"/>
      <c r="D135" s="27"/>
      <c r="E135" s="28"/>
      <c r="F135" s="28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 spans="1:28" ht="15.75">
      <c r="A136" s="26"/>
      <c r="B136" s="16"/>
      <c r="C136" s="16"/>
      <c r="D136" s="27"/>
      <c r="E136" s="28"/>
      <c r="F136" s="28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 spans="1:28" ht="15.75">
      <c r="A137" s="26"/>
      <c r="B137" s="16"/>
      <c r="C137" s="16"/>
      <c r="D137" s="27"/>
      <c r="E137" s="28"/>
      <c r="F137" s="28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 spans="1:28" ht="15.75">
      <c r="A138" s="26"/>
      <c r="B138" s="16"/>
      <c r="C138" s="16"/>
      <c r="D138" s="27"/>
      <c r="E138" s="28"/>
      <c r="F138" s="28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 spans="1:28" ht="15.75">
      <c r="A139" s="26"/>
      <c r="B139" s="16"/>
      <c r="C139" s="16"/>
      <c r="D139" s="27"/>
      <c r="E139" s="28"/>
      <c r="F139" s="28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 spans="1:28" ht="15.75">
      <c r="A140" s="26"/>
      <c r="B140" s="16"/>
      <c r="C140" s="16"/>
      <c r="D140" s="27"/>
      <c r="E140" s="28"/>
      <c r="F140" s="28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 spans="1:28" ht="15.75">
      <c r="A141" s="26"/>
      <c r="B141" s="16"/>
      <c r="C141" s="16"/>
      <c r="D141" s="27"/>
      <c r="E141" s="28"/>
      <c r="F141" s="28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 spans="1:28" ht="15.75">
      <c r="A142" s="26"/>
      <c r="B142" s="16"/>
      <c r="C142" s="16"/>
      <c r="D142" s="27"/>
      <c r="E142" s="28"/>
      <c r="F142" s="28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 spans="1:28" ht="15.75">
      <c r="A143" s="26"/>
      <c r="B143" s="16"/>
      <c r="C143" s="16"/>
      <c r="D143" s="27"/>
      <c r="E143" s="28"/>
      <c r="F143" s="28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 spans="1:28" ht="15.75">
      <c r="A144" s="26"/>
      <c r="B144" s="16"/>
      <c r="C144" s="16"/>
      <c r="D144" s="27"/>
      <c r="E144" s="28"/>
      <c r="F144" s="28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 spans="1:28" ht="15.75">
      <c r="A145" s="26"/>
      <c r="B145" s="16"/>
      <c r="C145" s="16"/>
      <c r="D145" s="27"/>
      <c r="E145" s="28"/>
      <c r="F145" s="28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 spans="1:28" ht="15.75">
      <c r="A146" s="26"/>
      <c r="B146" s="16"/>
      <c r="C146" s="16"/>
      <c r="D146" s="27"/>
      <c r="E146" s="28"/>
      <c r="F146" s="28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 spans="1:28" ht="15.75">
      <c r="A147" s="26"/>
      <c r="B147" s="16"/>
      <c r="C147" s="16"/>
      <c r="D147" s="27"/>
      <c r="E147" s="28"/>
      <c r="F147" s="28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 spans="1:28" ht="15.75">
      <c r="A148" s="26"/>
      <c r="B148" s="16"/>
      <c r="C148" s="16"/>
      <c r="D148" s="27"/>
      <c r="E148" s="28"/>
      <c r="F148" s="28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 spans="1:28" ht="15.75">
      <c r="A149" s="26"/>
      <c r="B149" s="16"/>
      <c r="C149" s="16"/>
      <c r="D149" s="27"/>
      <c r="E149" s="28"/>
      <c r="F149" s="28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 spans="1:28" ht="15.75">
      <c r="A150" s="26"/>
      <c r="B150" s="16"/>
      <c r="C150" s="16"/>
      <c r="D150" s="27"/>
      <c r="E150" s="28"/>
      <c r="F150" s="28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 spans="1:28" ht="15.75">
      <c r="A151" s="26"/>
      <c r="B151" s="16"/>
      <c r="C151" s="16"/>
      <c r="D151" s="27"/>
      <c r="E151" s="28"/>
      <c r="F151" s="28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 spans="1:28" ht="15.75">
      <c r="A152" s="26"/>
      <c r="B152" s="16"/>
      <c r="C152" s="16"/>
      <c r="D152" s="27"/>
      <c r="E152" s="28"/>
      <c r="F152" s="28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 spans="1:28" ht="15.75">
      <c r="A153" s="26"/>
      <c r="B153" s="16"/>
      <c r="C153" s="16"/>
      <c r="D153" s="27"/>
      <c r="E153" s="28"/>
      <c r="F153" s="28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 spans="1:28" ht="15.75">
      <c r="A154" s="26"/>
      <c r="B154" s="16"/>
      <c r="C154" s="16"/>
      <c r="D154" s="27"/>
      <c r="E154" s="28"/>
      <c r="F154" s="28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 spans="1:28" ht="15.75">
      <c r="A155" s="26"/>
      <c r="B155" s="16"/>
      <c r="C155" s="16"/>
      <c r="D155" s="27"/>
      <c r="E155" s="28"/>
      <c r="F155" s="28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 spans="1:28" ht="15.75">
      <c r="A156" s="26"/>
      <c r="B156" s="16"/>
      <c r="C156" s="16"/>
      <c r="D156" s="27"/>
      <c r="E156" s="28"/>
      <c r="F156" s="28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 spans="1:28" ht="15.75">
      <c r="A157" s="26"/>
      <c r="B157" s="16"/>
      <c r="C157" s="16"/>
      <c r="D157" s="27"/>
      <c r="E157" s="28"/>
      <c r="F157" s="28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 spans="1:28" ht="15.75">
      <c r="A158" s="26"/>
      <c r="B158" s="16"/>
      <c r="C158" s="16"/>
      <c r="D158" s="27"/>
      <c r="E158" s="28"/>
      <c r="F158" s="28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 spans="1:28" ht="15.75">
      <c r="A159" s="26"/>
      <c r="B159" s="16"/>
      <c r="C159" s="16"/>
      <c r="D159" s="27"/>
      <c r="E159" s="28"/>
      <c r="F159" s="28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 spans="1:28" ht="15.75">
      <c r="A160" s="26"/>
      <c r="B160" s="16"/>
      <c r="C160" s="16"/>
      <c r="D160" s="27"/>
      <c r="E160" s="28"/>
      <c r="F160" s="28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 spans="1:28" ht="15.75">
      <c r="A161" s="26"/>
      <c r="B161" s="16"/>
      <c r="C161" s="16"/>
      <c r="D161" s="27"/>
      <c r="E161" s="28"/>
      <c r="F161" s="28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 spans="1:28" ht="15.75">
      <c r="A162" s="26"/>
      <c r="B162" s="16"/>
      <c r="C162" s="16"/>
      <c r="D162" s="27"/>
      <c r="E162" s="28"/>
      <c r="F162" s="28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 spans="1:28" ht="15.75">
      <c r="A163" s="26"/>
      <c r="B163" s="16"/>
      <c r="C163" s="16"/>
      <c r="D163" s="27"/>
      <c r="E163" s="28"/>
      <c r="F163" s="28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 spans="1:28" ht="15.75">
      <c r="A164" s="26"/>
      <c r="B164" s="16"/>
      <c r="C164" s="16"/>
      <c r="D164" s="27"/>
      <c r="E164" s="28"/>
      <c r="F164" s="28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 spans="1:28" ht="15.75">
      <c r="A165" s="26"/>
      <c r="B165" s="16"/>
      <c r="C165" s="16"/>
      <c r="D165" s="27"/>
      <c r="E165" s="28"/>
      <c r="F165" s="28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 spans="1:28" ht="15.75">
      <c r="A166" s="26"/>
      <c r="B166" s="16"/>
      <c r="C166" s="16"/>
      <c r="D166" s="27"/>
      <c r="E166" s="28"/>
      <c r="F166" s="28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 spans="1:28" ht="15.75">
      <c r="A167" s="26"/>
      <c r="B167" s="16"/>
      <c r="C167" s="16"/>
      <c r="D167" s="27"/>
      <c r="E167" s="28"/>
      <c r="F167" s="28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 spans="1:28" ht="15.75">
      <c r="A168" s="26"/>
      <c r="B168" s="16"/>
      <c r="C168" s="16"/>
      <c r="D168" s="27"/>
      <c r="E168" s="28"/>
      <c r="F168" s="28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 spans="1:28" ht="15.75">
      <c r="A169" s="26"/>
      <c r="B169" s="16"/>
      <c r="C169" s="16"/>
      <c r="D169" s="27"/>
      <c r="E169" s="28"/>
      <c r="F169" s="28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 spans="1:28" ht="15.75">
      <c r="A170" s="26"/>
      <c r="B170" s="16"/>
      <c r="C170" s="16"/>
      <c r="D170" s="27"/>
      <c r="E170" s="28"/>
      <c r="F170" s="28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 spans="1:28" ht="15.75">
      <c r="A171" s="26"/>
      <c r="B171" s="16"/>
      <c r="C171" s="16"/>
      <c r="D171" s="27"/>
      <c r="E171" s="28"/>
      <c r="F171" s="28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 spans="1:28" ht="15.75">
      <c r="A172" s="26"/>
      <c r="B172" s="16"/>
      <c r="C172" s="16"/>
      <c r="D172" s="27"/>
      <c r="E172" s="28"/>
      <c r="F172" s="28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 spans="1:28" ht="15.75">
      <c r="A173" s="26"/>
      <c r="B173" s="16"/>
      <c r="C173" s="16"/>
      <c r="D173" s="27"/>
      <c r="E173" s="28"/>
      <c r="F173" s="28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 spans="1:28" ht="15.75">
      <c r="A174" s="26"/>
      <c r="B174" s="16"/>
      <c r="C174" s="16"/>
      <c r="D174" s="27"/>
      <c r="E174" s="28"/>
      <c r="F174" s="28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 spans="1:28" ht="15.75">
      <c r="A175" s="26"/>
      <c r="B175" s="16"/>
      <c r="C175" s="16"/>
      <c r="D175" s="27"/>
      <c r="E175" s="28"/>
      <c r="F175" s="28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 spans="1:28" ht="15.75">
      <c r="A176" s="26"/>
      <c r="B176" s="16"/>
      <c r="C176" s="16"/>
      <c r="D176" s="27"/>
      <c r="E176" s="28"/>
      <c r="F176" s="28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 spans="1:28" ht="15.75">
      <c r="A177" s="26"/>
      <c r="B177" s="16"/>
      <c r="C177" s="16"/>
      <c r="D177" s="27"/>
      <c r="E177" s="28"/>
      <c r="F177" s="28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 spans="1:28" ht="15.75">
      <c r="A178" s="26"/>
      <c r="B178" s="16"/>
      <c r="C178" s="16"/>
      <c r="D178" s="27"/>
      <c r="E178" s="28"/>
      <c r="F178" s="28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 spans="1:28" ht="15.75">
      <c r="A179" s="26"/>
      <c r="B179" s="16"/>
      <c r="C179" s="16"/>
      <c r="D179" s="27"/>
      <c r="E179" s="28"/>
      <c r="F179" s="28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 spans="1:28" ht="15.75">
      <c r="A180" s="26"/>
      <c r="B180" s="16"/>
      <c r="C180" s="16"/>
      <c r="D180" s="27"/>
      <c r="E180" s="28"/>
      <c r="F180" s="28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 spans="1:28" ht="15.75">
      <c r="A181" s="26"/>
      <c r="B181" s="16"/>
      <c r="C181" s="16"/>
      <c r="D181" s="27"/>
      <c r="E181" s="28"/>
      <c r="F181" s="28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 spans="1:28" ht="15.75">
      <c r="A182" s="26"/>
      <c r="B182" s="16"/>
      <c r="C182" s="16"/>
      <c r="D182" s="27"/>
      <c r="E182" s="28"/>
      <c r="F182" s="28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 spans="1:28" ht="15.75">
      <c r="A183" s="26"/>
      <c r="B183" s="16"/>
      <c r="C183" s="16"/>
      <c r="D183" s="27"/>
      <c r="E183" s="28"/>
      <c r="F183" s="28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 spans="1:28" ht="15.75">
      <c r="A184" s="26"/>
      <c r="B184" s="16"/>
      <c r="C184" s="16"/>
      <c r="D184" s="27"/>
      <c r="E184" s="28"/>
      <c r="F184" s="28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 spans="1:28" ht="15.75">
      <c r="A185" s="26"/>
      <c r="B185" s="16"/>
      <c r="C185" s="16"/>
      <c r="D185" s="27"/>
      <c r="E185" s="28"/>
      <c r="F185" s="28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 spans="1:28" ht="15.75">
      <c r="A186" s="26"/>
      <c r="B186" s="16"/>
      <c r="C186" s="16"/>
      <c r="D186" s="27"/>
      <c r="E186" s="28"/>
      <c r="F186" s="28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 spans="1:28" ht="15.75">
      <c r="A187" s="26"/>
      <c r="B187" s="16"/>
      <c r="C187" s="16"/>
      <c r="D187" s="27"/>
      <c r="E187" s="28"/>
      <c r="F187" s="28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 spans="1:28" ht="15.75">
      <c r="A188" s="26"/>
      <c r="B188" s="16"/>
      <c r="C188" s="16"/>
      <c r="D188" s="27"/>
      <c r="E188" s="28"/>
      <c r="F188" s="28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 spans="1:28" ht="15.75">
      <c r="A189" s="26"/>
      <c r="B189" s="16"/>
      <c r="C189" s="16"/>
      <c r="D189" s="27"/>
      <c r="E189" s="28"/>
      <c r="F189" s="28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 spans="1:28" ht="15.75">
      <c r="A190" s="26"/>
      <c r="B190" s="16"/>
      <c r="C190" s="16"/>
      <c r="D190" s="27"/>
      <c r="E190" s="28"/>
      <c r="F190" s="28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 spans="1:28" ht="15.75">
      <c r="A191" s="26"/>
      <c r="B191" s="16"/>
      <c r="C191" s="16"/>
      <c r="D191" s="27"/>
      <c r="E191" s="28"/>
      <c r="F191" s="28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 spans="1:28" ht="15.75">
      <c r="A192" s="26"/>
      <c r="B192" s="16"/>
      <c r="C192" s="16"/>
      <c r="D192" s="27"/>
      <c r="E192" s="28"/>
      <c r="F192" s="28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 spans="1:28" ht="15.75">
      <c r="A193" s="26"/>
      <c r="B193" s="16"/>
      <c r="C193" s="16"/>
      <c r="D193" s="27"/>
      <c r="E193" s="28"/>
      <c r="F193" s="28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 spans="1:28" ht="15.75">
      <c r="A194" s="26"/>
      <c r="B194" s="16"/>
      <c r="C194" s="16"/>
      <c r="D194" s="27"/>
      <c r="E194" s="28"/>
      <c r="F194" s="28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 spans="1:28" ht="15.75">
      <c r="A195" s="26"/>
      <c r="B195" s="16"/>
      <c r="C195" s="16"/>
      <c r="D195" s="27"/>
      <c r="E195" s="28"/>
      <c r="F195" s="28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 spans="1:28" ht="15.75">
      <c r="A196" s="26"/>
      <c r="B196" s="16"/>
      <c r="C196" s="16"/>
      <c r="D196" s="27"/>
      <c r="E196" s="28"/>
      <c r="F196" s="28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 spans="1:28" ht="15.75">
      <c r="A197" s="26"/>
      <c r="B197" s="16"/>
      <c r="C197" s="16"/>
      <c r="D197" s="27"/>
      <c r="E197" s="28"/>
      <c r="F197" s="28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 spans="1:28" ht="15.75">
      <c r="A198" s="26"/>
      <c r="B198" s="16"/>
      <c r="C198" s="16"/>
      <c r="D198" s="27"/>
      <c r="E198" s="28"/>
      <c r="F198" s="28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 spans="1:28" ht="15.75">
      <c r="A199" s="26"/>
      <c r="B199" s="16"/>
      <c r="C199" s="16"/>
      <c r="D199" s="27"/>
      <c r="E199" s="28"/>
      <c r="F199" s="28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 spans="1:28" ht="15.75">
      <c r="A200" s="26"/>
      <c r="B200" s="16"/>
      <c r="C200" s="16"/>
      <c r="D200" s="27"/>
      <c r="E200" s="28"/>
      <c r="F200" s="28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 spans="1:28" ht="15.75">
      <c r="A201" s="26"/>
      <c r="B201" s="16"/>
      <c r="C201" s="16"/>
      <c r="D201" s="27"/>
      <c r="E201" s="28"/>
      <c r="F201" s="28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 spans="1:28" ht="15.75">
      <c r="A202" s="26"/>
      <c r="B202" s="16"/>
      <c r="C202" s="16"/>
      <c r="D202" s="27"/>
      <c r="E202" s="28"/>
      <c r="F202" s="28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</sheetData>
  <mergeCells count="1">
    <mergeCell ref="A1:H1"/>
  </mergeCells>
  <phoneticPr fontId="1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98"/>
  <sheetViews>
    <sheetView showGridLines="0" zoomScaleNormal="100" zoomScaleSheetLayoutView="100" workbookViewId="0">
      <pane ySplit="2" topLeftCell="A3" activePane="bottomLeft" state="frozen"/>
      <selection pane="bottomLeft" sqref="A1:H1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4" width="11.25" customWidth="1"/>
    <col min="5" max="5" width="12" customWidth="1"/>
    <col min="6" max="6" width="13.75" customWidth="1"/>
    <col min="7" max="7" width="6.125" customWidth="1"/>
    <col min="8" max="8" width="48.25" customWidth="1"/>
    <col min="9" max="28" width="9.125" customWidth="1"/>
  </cols>
  <sheetData>
    <row r="1" spans="1:28" ht="37.5" customHeight="1">
      <c r="A1" s="173" t="s">
        <v>27</v>
      </c>
      <c r="B1" s="172"/>
      <c r="C1" s="172"/>
      <c r="D1" s="172"/>
      <c r="E1" s="172"/>
      <c r="F1" s="172"/>
      <c r="G1" s="172"/>
      <c r="H1" s="17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2.5" customHeight="1">
      <c r="A2" s="30" t="s">
        <v>1</v>
      </c>
      <c r="B2" s="31" t="s">
        <v>2</v>
      </c>
      <c r="C2" s="31" t="s">
        <v>3</v>
      </c>
      <c r="D2" s="32" t="s">
        <v>4</v>
      </c>
      <c r="E2" s="33" t="s">
        <v>28</v>
      </c>
      <c r="F2" s="33" t="s">
        <v>29</v>
      </c>
      <c r="G2" s="31" t="s">
        <v>6</v>
      </c>
      <c r="H2" s="34" t="s">
        <v>30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8.75" customHeight="1">
      <c r="A3" s="39">
        <v>43922</v>
      </c>
      <c r="B3" s="8" t="s">
        <v>7</v>
      </c>
      <c r="C3" s="8" t="s">
        <v>8</v>
      </c>
      <c r="D3" s="9"/>
      <c r="E3" s="12"/>
      <c r="F3" s="9">
        <v>8248</v>
      </c>
      <c r="G3" s="8"/>
      <c r="H3" s="8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18.75" customHeight="1">
      <c r="A4" s="35">
        <v>43922</v>
      </c>
      <c r="B4" s="36" t="s">
        <v>7</v>
      </c>
      <c r="C4" s="36" t="s">
        <v>9</v>
      </c>
      <c r="D4" s="37"/>
      <c r="E4" s="38"/>
      <c r="F4" s="37">
        <v>1851.6</v>
      </c>
      <c r="G4" s="36"/>
      <c r="H4" s="36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18.75" customHeight="1">
      <c r="A5" s="39">
        <v>43924</v>
      </c>
      <c r="B5" s="8" t="s">
        <v>10</v>
      </c>
      <c r="C5" s="8" t="s">
        <v>11</v>
      </c>
      <c r="D5" s="9"/>
      <c r="E5" s="12"/>
      <c r="F5" s="12">
        <v>29142.45</v>
      </c>
      <c r="G5" s="8"/>
      <c r="H5" s="8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8.75" customHeight="1">
      <c r="A6" s="35">
        <v>43924</v>
      </c>
      <c r="B6" s="36" t="s">
        <v>7</v>
      </c>
      <c r="C6" s="36" t="s">
        <v>12</v>
      </c>
      <c r="D6" s="37"/>
      <c r="E6" s="38"/>
      <c r="F6" s="38">
        <v>3987</v>
      </c>
      <c r="G6" s="36"/>
      <c r="H6" s="36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18.75" customHeight="1">
      <c r="A7" s="39">
        <v>43926</v>
      </c>
      <c r="B7" s="8" t="s">
        <v>7</v>
      </c>
      <c r="C7" s="8" t="s">
        <v>13</v>
      </c>
      <c r="D7" s="9"/>
      <c r="E7" s="12"/>
      <c r="F7" s="12">
        <v>0</v>
      </c>
      <c r="G7" s="8"/>
      <c r="H7" s="8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8.75" customHeight="1">
      <c r="A8" s="35">
        <v>43926</v>
      </c>
      <c r="B8" s="36" t="s">
        <v>10</v>
      </c>
      <c r="C8" s="36" t="s">
        <v>13</v>
      </c>
      <c r="D8" s="37"/>
      <c r="E8" s="38"/>
      <c r="F8" s="49">
        <v>0</v>
      </c>
      <c r="G8" s="36"/>
      <c r="H8" s="36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18.75" customHeight="1">
      <c r="A9" s="35">
        <v>43928</v>
      </c>
      <c r="B9" s="36" t="s">
        <v>10</v>
      </c>
      <c r="C9" s="36" t="s">
        <v>14</v>
      </c>
      <c r="D9" s="37"/>
      <c r="E9" s="38"/>
      <c r="F9" s="38">
        <v>13196.3</v>
      </c>
      <c r="G9" s="36"/>
      <c r="H9" s="36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8.75" customHeight="1">
      <c r="A10" s="35">
        <v>43930</v>
      </c>
      <c r="B10" s="36" t="s">
        <v>10</v>
      </c>
      <c r="C10" s="36" t="s">
        <v>15</v>
      </c>
      <c r="D10" s="37"/>
      <c r="E10" s="38"/>
      <c r="F10" s="38">
        <v>598.66</v>
      </c>
      <c r="G10" s="36"/>
      <c r="H10" s="36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18.75" customHeight="1">
      <c r="A11" s="39">
        <v>43930</v>
      </c>
      <c r="B11" s="8" t="s">
        <v>7</v>
      </c>
      <c r="C11" s="8" t="s">
        <v>15</v>
      </c>
      <c r="D11" s="9"/>
      <c r="E11" s="12"/>
      <c r="F11" s="9">
        <v>89</v>
      </c>
      <c r="G11" s="8"/>
      <c r="H11" s="8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8.75" customHeight="1">
      <c r="A12" s="35">
        <v>43930</v>
      </c>
      <c r="B12" s="36" t="s">
        <v>10</v>
      </c>
      <c r="C12" s="36" t="s">
        <v>16</v>
      </c>
      <c r="D12" s="37"/>
      <c r="E12" s="38"/>
      <c r="F12" s="37">
        <v>3562</v>
      </c>
      <c r="G12" s="36"/>
      <c r="H12" s="36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18.75" customHeight="1">
      <c r="A13" s="39">
        <v>43937</v>
      </c>
      <c r="B13" s="8" t="s">
        <v>10</v>
      </c>
      <c r="C13" s="8" t="s">
        <v>17</v>
      </c>
      <c r="D13" s="9"/>
      <c r="E13" s="12"/>
      <c r="F13" s="9">
        <v>36215.31</v>
      </c>
      <c r="G13" s="8"/>
      <c r="H13" s="8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8.75" customHeight="1">
      <c r="A14" s="35">
        <v>43942</v>
      </c>
      <c r="B14" s="36" t="s">
        <v>7</v>
      </c>
      <c r="C14" s="36" t="s">
        <v>11</v>
      </c>
      <c r="D14" s="37"/>
      <c r="E14" s="38"/>
      <c r="F14" s="38"/>
      <c r="G14" s="36"/>
      <c r="H14" s="36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18.75" customHeight="1">
      <c r="A15" s="39">
        <v>43942</v>
      </c>
      <c r="B15" s="8" t="s">
        <v>10</v>
      </c>
      <c r="C15" s="8" t="s">
        <v>19</v>
      </c>
      <c r="D15" s="9"/>
      <c r="E15" s="12"/>
      <c r="F15" s="9">
        <v>1675</v>
      </c>
      <c r="G15" s="8"/>
      <c r="H15" s="8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8.75" customHeight="1">
      <c r="A16" s="35">
        <v>43943</v>
      </c>
      <c r="B16" s="36" t="s">
        <v>7</v>
      </c>
      <c r="C16" s="36" t="s">
        <v>20</v>
      </c>
      <c r="D16" s="37"/>
      <c r="E16" s="38"/>
      <c r="F16" s="37"/>
      <c r="G16" s="36"/>
      <c r="H16" s="36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18.75" customHeight="1">
      <c r="A17" s="39">
        <v>43944</v>
      </c>
      <c r="B17" s="8" t="s">
        <v>10</v>
      </c>
      <c r="C17" s="8" t="s">
        <v>21</v>
      </c>
      <c r="D17" s="9"/>
      <c r="E17" s="12"/>
      <c r="F17" s="9">
        <v>4081</v>
      </c>
      <c r="G17" s="8"/>
      <c r="H17" s="8"/>
      <c r="I17" s="11"/>
      <c r="J17" s="11"/>
      <c r="K17" s="16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8.75" customHeight="1">
      <c r="A18" s="35">
        <v>43944</v>
      </c>
      <c r="B18" s="36" t="s">
        <v>7</v>
      </c>
      <c r="C18" s="36" t="s">
        <v>14</v>
      </c>
      <c r="D18" s="37"/>
      <c r="E18" s="42"/>
      <c r="F18" s="37"/>
      <c r="G18" s="36"/>
      <c r="H18" s="36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8.75" customHeight="1">
      <c r="A19" s="39">
        <v>43948</v>
      </c>
      <c r="B19" s="8" t="s">
        <v>10</v>
      </c>
      <c r="C19" s="8" t="s">
        <v>9</v>
      </c>
      <c r="D19" s="9"/>
      <c r="E19" s="12"/>
      <c r="F19" s="9">
        <v>2545</v>
      </c>
      <c r="G19" s="8"/>
      <c r="H19" s="8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8.75" customHeight="1">
      <c r="A20" s="35">
        <v>43948</v>
      </c>
      <c r="B20" s="36" t="s">
        <v>10</v>
      </c>
      <c r="C20" s="36" t="s">
        <v>23</v>
      </c>
      <c r="D20" s="37"/>
      <c r="E20" s="43"/>
      <c r="F20" s="38"/>
      <c r="G20" s="36"/>
      <c r="H20" s="36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8.75" customHeight="1">
      <c r="A21" s="39">
        <v>43949</v>
      </c>
      <c r="B21" s="8" t="s">
        <v>10</v>
      </c>
      <c r="C21" s="8" t="s">
        <v>47</v>
      </c>
      <c r="D21" s="9"/>
      <c r="E21" s="12"/>
      <c r="F21" s="12"/>
      <c r="G21" s="8"/>
      <c r="H21" s="8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8.75" customHeight="1">
      <c r="A22" s="39">
        <v>43950</v>
      </c>
      <c r="B22" s="8"/>
      <c r="C22" s="8" t="s">
        <v>24</v>
      </c>
      <c r="D22" s="9"/>
      <c r="E22" s="12"/>
      <c r="F22" s="12"/>
      <c r="G22" s="8"/>
      <c r="H22" s="8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8.75" customHeight="1">
      <c r="A23" s="44">
        <v>43951</v>
      </c>
      <c r="B23" s="8" t="s">
        <v>25</v>
      </c>
      <c r="C23" s="8" t="s">
        <v>26</v>
      </c>
      <c r="D23" s="9"/>
      <c r="E23" s="12"/>
      <c r="F23" s="9">
        <v>16323.2</v>
      </c>
      <c r="G23" s="8"/>
      <c r="H23" s="8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22.5" customHeight="1">
      <c r="A24" s="45"/>
      <c r="B24" s="46"/>
      <c r="C24" s="46"/>
      <c r="D24" s="47">
        <f>SUM(D3:D23)</f>
        <v>0</v>
      </c>
      <c r="E24" s="48"/>
      <c r="F24" s="50">
        <f>SUM(F3:F23)</f>
        <v>121514.52</v>
      </c>
      <c r="G24" s="46"/>
      <c r="H24" s="46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</row>
    <row r="25" spans="1:28" ht="22.5" customHeight="1">
      <c r="A25" s="16"/>
      <c r="B25" s="16"/>
      <c r="C25" s="16"/>
      <c r="D25" s="16"/>
      <c r="E25" s="16"/>
      <c r="F25" s="16"/>
      <c r="G25" s="16"/>
      <c r="H25" s="16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</row>
    <row r="26" spans="1:28" ht="22.5" customHeight="1">
      <c r="A26" s="16"/>
      <c r="B26" s="16"/>
      <c r="C26" s="16"/>
      <c r="D26" s="16"/>
      <c r="E26" s="16"/>
      <c r="F26" s="16"/>
      <c r="G26" s="16"/>
      <c r="H26" s="16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</row>
    <row r="27" spans="1:28" ht="18.75" customHeight="1">
      <c r="A27" s="22"/>
      <c r="B27" s="23"/>
      <c r="C27" s="23"/>
      <c r="D27" s="24"/>
      <c r="E27" s="25"/>
      <c r="F27" s="25"/>
      <c r="G27" s="23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 spans="1:28" ht="15.75">
      <c r="A28" s="26"/>
      <c r="B28" s="16"/>
      <c r="C28" s="16"/>
      <c r="D28" s="27"/>
      <c r="E28" s="28"/>
      <c r="F28" s="28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 spans="1:28" ht="15.75">
      <c r="A29" s="26"/>
      <c r="B29" s="16"/>
      <c r="C29" s="16"/>
      <c r="D29" s="27"/>
      <c r="E29" s="28"/>
      <c r="F29" s="28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 spans="1:28" ht="15.75">
      <c r="A30" s="26"/>
      <c r="B30" s="16"/>
      <c r="C30" s="16"/>
      <c r="D30" s="27"/>
      <c r="E30" s="28"/>
      <c r="F30" s="28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 spans="1:28" ht="15.75">
      <c r="A31" s="26"/>
      <c r="B31" s="16"/>
      <c r="C31" s="16"/>
      <c r="D31" s="27"/>
      <c r="E31" s="28"/>
      <c r="F31" s="28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 spans="1:28" ht="15.75">
      <c r="A32" s="26"/>
      <c r="B32" s="16"/>
      <c r="C32" s="16"/>
      <c r="D32" s="27"/>
      <c r="E32" s="28"/>
      <c r="F32" s="28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 spans="1:28" ht="15.75">
      <c r="A33" s="26"/>
      <c r="B33" s="16"/>
      <c r="C33" s="16"/>
      <c r="D33" s="27"/>
      <c r="E33" s="28"/>
      <c r="F33" s="28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 spans="1:28" ht="15.75">
      <c r="A34" s="26"/>
      <c r="B34" s="16"/>
      <c r="C34" s="16"/>
      <c r="D34" s="27"/>
      <c r="E34" s="28"/>
      <c r="F34" s="28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 spans="1:28" ht="15.75">
      <c r="A35" s="26"/>
      <c r="B35" s="16"/>
      <c r="C35" s="16"/>
      <c r="D35" s="27"/>
      <c r="E35" s="28"/>
      <c r="F35" s="28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 spans="1:28" ht="15.75">
      <c r="A36" s="26"/>
      <c r="B36" s="16"/>
      <c r="C36" s="16"/>
      <c r="D36" s="27"/>
      <c r="E36" s="28"/>
      <c r="F36" s="28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 spans="1:28" ht="15.75">
      <c r="A37" s="26"/>
      <c r="B37" s="16"/>
      <c r="C37" s="16"/>
      <c r="D37" s="27"/>
      <c r="E37" s="28"/>
      <c r="F37" s="28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 spans="1:28" ht="15.75">
      <c r="A38" s="26"/>
      <c r="B38" s="16"/>
      <c r="C38" s="16"/>
      <c r="D38" s="27"/>
      <c r="E38" s="28"/>
      <c r="F38" s="28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 spans="1:28" ht="15.75">
      <c r="A39" s="26"/>
      <c r="B39" s="16"/>
      <c r="C39" s="16"/>
      <c r="D39" s="27"/>
      <c r="E39" s="28"/>
      <c r="F39" s="28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spans="1:28" ht="15.75">
      <c r="A40" s="26"/>
      <c r="B40" s="16"/>
      <c r="C40" s="16"/>
      <c r="D40" s="27"/>
      <c r="E40" s="28"/>
      <c r="F40" s="28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 spans="1:28" ht="15.75">
      <c r="A41" s="26"/>
      <c r="B41" s="16"/>
      <c r="C41" s="16"/>
      <c r="D41" s="27"/>
      <c r="E41" s="28"/>
      <c r="F41" s="28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 spans="1:28" ht="15.75">
      <c r="A42" s="26"/>
      <c r="B42" s="16"/>
      <c r="C42" s="16"/>
      <c r="D42" s="27"/>
      <c r="E42" s="28"/>
      <c r="F42" s="28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 spans="1:28" ht="15.75">
      <c r="A43" s="26"/>
      <c r="B43" s="16"/>
      <c r="C43" s="16"/>
      <c r="D43" s="27"/>
      <c r="E43" s="28"/>
      <c r="F43" s="28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 spans="1:28" ht="15.75">
      <c r="A44" s="26"/>
      <c r="B44" s="16"/>
      <c r="C44" s="16"/>
      <c r="D44" s="27"/>
      <c r="E44" s="28"/>
      <c r="F44" s="28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 spans="1:28" ht="15.75">
      <c r="A45" s="26"/>
      <c r="B45" s="16"/>
      <c r="C45" s="16"/>
      <c r="D45" s="27"/>
      <c r="E45" s="28"/>
      <c r="F45" s="28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 spans="1:28" ht="15.75">
      <c r="A46" s="26"/>
      <c r="B46" s="16"/>
      <c r="C46" s="16"/>
      <c r="D46" s="27"/>
      <c r="E46" s="28"/>
      <c r="F46" s="28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 spans="1:28" ht="15.75">
      <c r="A47" s="26"/>
      <c r="B47" s="16"/>
      <c r="C47" s="16"/>
      <c r="D47" s="27"/>
      <c r="E47" s="28"/>
      <c r="F47" s="28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 spans="1:28" ht="15.75">
      <c r="A48" s="26"/>
      <c r="B48" s="16"/>
      <c r="C48" s="16"/>
      <c r="D48" s="27"/>
      <c r="E48" s="28"/>
      <c r="F48" s="28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spans="1:28" ht="15.75">
      <c r="A49" s="26"/>
      <c r="B49" s="16"/>
      <c r="C49" s="16"/>
      <c r="D49" s="27"/>
      <c r="E49" s="28"/>
      <c r="F49" s="28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 spans="1:28" ht="15.75">
      <c r="A50" s="26"/>
      <c r="B50" s="16"/>
      <c r="C50" s="16"/>
      <c r="D50" s="27"/>
      <c r="E50" s="28"/>
      <c r="F50" s="28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 spans="1:28" ht="15.75">
      <c r="A51" s="26"/>
      <c r="B51" s="16"/>
      <c r="C51" s="16"/>
      <c r="D51" s="27"/>
      <c r="E51" s="28"/>
      <c r="F51" s="28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 spans="1:28" ht="15.75">
      <c r="A52" s="26"/>
      <c r="B52" s="16"/>
      <c r="C52" s="16"/>
      <c r="D52" s="27"/>
      <c r="E52" s="28"/>
      <c r="F52" s="28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 spans="1:28" ht="15.75">
      <c r="A53" s="26"/>
      <c r="B53" s="16"/>
      <c r="C53" s="16"/>
      <c r="D53" s="27"/>
      <c r="E53" s="28"/>
      <c r="F53" s="2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 spans="1:28" ht="15.75">
      <c r="A54" s="26"/>
      <c r="B54" s="16"/>
      <c r="C54" s="16"/>
      <c r="D54" s="27"/>
      <c r="E54" s="28"/>
      <c r="F54" s="28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 spans="1:28" ht="15.75">
      <c r="A55" s="26"/>
      <c r="B55" s="16"/>
      <c r="C55" s="16"/>
      <c r="D55" s="27"/>
      <c r="E55" s="28"/>
      <c r="F55" s="28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 spans="1:28" ht="15.75">
      <c r="A56" s="26"/>
      <c r="B56" s="16"/>
      <c r="C56" s="16"/>
      <c r="D56" s="27"/>
      <c r="E56" s="28"/>
      <c r="F56" s="2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 spans="1:28" ht="15.75">
      <c r="A57" s="26"/>
      <c r="B57" s="16"/>
      <c r="C57" s="16"/>
      <c r="D57" s="27"/>
      <c r="E57" s="28"/>
      <c r="F57" s="2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spans="1:28" ht="15.75">
      <c r="A58" s="26"/>
      <c r="B58" s="16"/>
      <c r="C58" s="16"/>
      <c r="D58" s="27"/>
      <c r="E58" s="28"/>
      <c r="F58" s="2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 spans="1:28" ht="15.75">
      <c r="A59" s="26"/>
      <c r="B59" s="16"/>
      <c r="C59" s="16"/>
      <c r="D59" s="27"/>
      <c r="E59" s="28"/>
      <c r="F59" s="2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 spans="1:28" ht="15.75">
      <c r="A60" s="26"/>
      <c r="B60" s="16"/>
      <c r="C60" s="16"/>
      <c r="D60" s="27"/>
      <c r="E60" s="28"/>
      <c r="F60" s="2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 spans="1:28" ht="15.75">
      <c r="A61" s="26"/>
      <c r="B61" s="16"/>
      <c r="C61" s="16"/>
      <c r="D61" s="27"/>
      <c r="E61" s="28"/>
      <c r="F61" s="2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 spans="1:28" ht="15.75">
      <c r="A62" s="26"/>
      <c r="B62" s="16"/>
      <c r="C62" s="16"/>
      <c r="D62" s="27"/>
      <c r="E62" s="28"/>
      <c r="F62" s="2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 spans="1:28" ht="15.75">
      <c r="A63" s="26"/>
      <c r="B63" s="16"/>
      <c r="C63" s="16"/>
      <c r="D63" s="27"/>
      <c r="E63" s="28"/>
      <c r="F63" s="2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 spans="1:28" ht="15.75">
      <c r="A64" s="26"/>
      <c r="B64" s="16"/>
      <c r="C64" s="16"/>
      <c r="D64" s="27"/>
      <c r="E64" s="28"/>
      <c r="F64" s="2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 spans="1:28" ht="15.75">
      <c r="A65" s="26"/>
      <c r="B65" s="16"/>
      <c r="C65" s="16"/>
      <c r="D65" s="27"/>
      <c r="E65" s="28"/>
      <c r="F65" s="2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1:28" ht="15.75">
      <c r="A66" s="26"/>
      <c r="B66" s="16"/>
      <c r="C66" s="16"/>
      <c r="D66" s="27"/>
      <c r="E66" s="28"/>
      <c r="F66" s="2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1:28" ht="15.75">
      <c r="A67" s="26"/>
      <c r="B67" s="16"/>
      <c r="C67" s="16"/>
      <c r="D67" s="27"/>
      <c r="E67" s="28"/>
      <c r="F67" s="2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1:28" ht="15.75">
      <c r="A68" s="26"/>
      <c r="B68" s="16"/>
      <c r="C68" s="16"/>
      <c r="D68" s="27"/>
      <c r="E68" s="28"/>
      <c r="F68" s="2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1:28" ht="15.75">
      <c r="A69" s="26"/>
      <c r="B69" s="16"/>
      <c r="C69" s="16"/>
      <c r="D69" s="27"/>
      <c r="E69" s="28"/>
      <c r="F69" s="2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1:28" ht="15.75">
      <c r="A70" s="26"/>
      <c r="B70" s="16"/>
      <c r="C70" s="16"/>
      <c r="D70" s="27"/>
      <c r="E70" s="28"/>
      <c r="F70" s="2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1:28" ht="15.75">
      <c r="A71" s="26"/>
      <c r="B71" s="16"/>
      <c r="C71" s="16"/>
      <c r="D71" s="27"/>
      <c r="E71" s="28"/>
      <c r="F71" s="2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1:28" ht="15.75">
      <c r="A72" s="26"/>
      <c r="B72" s="16"/>
      <c r="C72" s="16"/>
      <c r="D72" s="27"/>
      <c r="E72" s="28"/>
      <c r="F72" s="28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1:28" ht="15.75">
      <c r="A73" s="26"/>
      <c r="B73" s="16"/>
      <c r="C73" s="16"/>
      <c r="D73" s="27"/>
      <c r="E73" s="28"/>
      <c r="F73" s="28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1:28" ht="15.75">
      <c r="A74" s="26"/>
      <c r="B74" s="16"/>
      <c r="C74" s="16"/>
      <c r="D74" s="27"/>
      <c r="E74" s="28"/>
      <c r="F74" s="2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1:28" ht="15.75">
      <c r="A75" s="26"/>
      <c r="B75" s="16"/>
      <c r="C75" s="16"/>
      <c r="D75" s="27"/>
      <c r="E75" s="28"/>
      <c r="F75" s="2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1:28" ht="15.75">
      <c r="A76" s="26"/>
      <c r="B76" s="16"/>
      <c r="C76" s="16"/>
      <c r="D76" s="27"/>
      <c r="E76" s="28"/>
      <c r="F76" s="28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1:28" ht="15.75">
      <c r="A77" s="26"/>
      <c r="B77" s="16"/>
      <c r="C77" s="16"/>
      <c r="D77" s="27"/>
      <c r="E77" s="28"/>
      <c r="F77" s="28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1:28" ht="15.75">
      <c r="A78" s="26"/>
      <c r="B78" s="16"/>
      <c r="C78" s="16"/>
      <c r="D78" s="27"/>
      <c r="E78" s="28"/>
      <c r="F78" s="28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1:28" ht="15.75">
      <c r="A79" s="26"/>
      <c r="B79" s="16"/>
      <c r="C79" s="16"/>
      <c r="D79" s="27"/>
      <c r="E79" s="28"/>
      <c r="F79" s="2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1:28" ht="15.75">
      <c r="A80" s="26"/>
      <c r="B80" s="16"/>
      <c r="C80" s="16"/>
      <c r="D80" s="27"/>
      <c r="E80" s="28"/>
      <c r="F80" s="28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1:28" ht="15.75">
      <c r="A81" s="26"/>
      <c r="B81" s="16"/>
      <c r="C81" s="16"/>
      <c r="D81" s="27"/>
      <c r="E81" s="28"/>
      <c r="F81" s="28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 spans="1:28" ht="15.75">
      <c r="A82" s="26"/>
      <c r="B82" s="16"/>
      <c r="C82" s="16"/>
      <c r="D82" s="27"/>
      <c r="E82" s="28"/>
      <c r="F82" s="28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 spans="1:28" ht="15.75">
      <c r="A83" s="26"/>
      <c r="B83" s="16"/>
      <c r="C83" s="16"/>
      <c r="D83" s="27"/>
      <c r="E83" s="28"/>
      <c r="F83" s="28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 spans="1:28" ht="15.75">
      <c r="A84" s="26"/>
      <c r="B84" s="16"/>
      <c r="C84" s="16"/>
      <c r="D84" s="27"/>
      <c r="E84" s="28"/>
      <c r="F84" s="28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 spans="1:28" ht="15.75">
      <c r="A85" s="26"/>
      <c r="B85" s="16"/>
      <c r="C85" s="16"/>
      <c r="D85" s="27"/>
      <c r="E85" s="28"/>
      <c r="F85" s="28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 spans="1:28" ht="15.75">
      <c r="A86" s="26"/>
      <c r="B86" s="16"/>
      <c r="C86" s="16"/>
      <c r="D86" s="27"/>
      <c r="E86" s="28"/>
      <c r="F86" s="28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 spans="1:28" ht="15.75">
      <c r="A87" s="26"/>
      <c r="B87" s="16"/>
      <c r="C87" s="16"/>
      <c r="D87" s="27"/>
      <c r="E87" s="28"/>
      <c r="F87" s="28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 spans="1:28" ht="15.75">
      <c r="A88" s="26"/>
      <c r="B88" s="16"/>
      <c r="C88" s="16"/>
      <c r="D88" s="27"/>
      <c r="E88" s="28"/>
      <c r="F88" s="28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 spans="1:28" ht="15.75">
      <c r="A89" s="26"/>
      <c r="B89" s="16"/>
      <c r="C89" s="16"/>
      <c r="D89" s="27"/>
      <c r="E89" s="28"/>
      <c r="F89" s="28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 spans="1:28" ht="15.75">
      <c r="A90" s="26"/>
      <c r="B90" s="16"/>
      <c r="C90" s="16"/>
      <c r="D90" s="27"/>
      <c r="E90" s="28"/>
      <c r="F90" s="28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 spans="1:28" ht="15.75">
      <c r="A91" s="26"/>
      <c r="B91" s="16"/>
      <c r="C91" s="16"/>
      <c r="D91" s="27"/>
      <c r="E91" s="28"/>
      <c r="F91" s="28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 spans="1:28" ht="15.75">
      <c r="A92" s="26"/>
      <c r="B92" s="16"/>
      <c r="C92" s="16"/>
      <c r="D92" s="27"/>
      <c r="E92" s="28"/>
      <c r="F92" s="28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 spans="1:28" ht="15.75">
      <c r="A93" s="26"/>
      <c r="B93" s="16"/>
      <c r="C93" s="16"/>
      <c r="D93" s="27"/>
      <c r="E93" s="28"/>
      <c r="F93" s="28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 spans="1:28" ht="15.75">
      <c r="A94" s="26"/>
      <c r="B94" s="16"/>
      <c r="C94" s="16"/>
      <c r="D94" s="27"/>
      <c r="E94" s="28"/>
      <c r="F94" s="28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 spans="1:28" ht="15.75">
      <c r="A95" s="26"/>
      <c r="B95" s="16"/>
      <c r="C95" s="16"/>
      <c r="D95" s="27"/>
      <c r="E95" s="28"/>
      <c r="F95" s="28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 spans="1:28" ht="15.75">
      <c r="A96" s="26"/>
      <c r="B96" s="16"/>
      <c r="C96" s="16"/>
      <c r="D96" s="27"/>
      <c r="E96" s="28"/>
      <c r="F96" s="28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 spans="1:28" ht="15.75">
      <c r="A97" s="26"/>
      <c r="B97" s="16"/>
      <c r="C97" s="16"/>
      <c r="D97" s="27"/>
      <c r="E97" s="28"/>
      <c r="F97" s="28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 spans="1:28" ht="15.75">
      <c r="A98" s="26"/>
      <c r="B98" s="16"/>
      <c r="C98" s="16"/>
      <c r="D98" s="27"/>
      <c r="E98" s="28"/>
      <c r="F98" s="28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 spans="1:28" ht="15.75">
      <c r="A99" s="26"/>
      <c r="B99" s="16"/>
      <c r="C99" s="16"/>
      <c r="D99" s="27"/>
      <c r="E99" s="28"/>
      <c r="F99" s="28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 spans="1:28" ht="15.75">
      <c r="A100" s="26"/>
      <c r="B100" s="16"/>
      <c r="C100" s="16"/>
      <c r="D100" s="27"/>
      <c r="E100" s="28"/>
      <c r="F100" s="28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 spans="1:28" ht="15.75">
      <c r="A101" s="26"/>
      <c r="B101" s="16"/>
      <c r="C101" s="16"/>
      <c r="D101" s="27"/>
      <c r="E101" s="28"/>
      <c r="F101" s="28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 spans="1:28" ht="15.75">
      <c r="A102" s="26"/>
      <c r="B102" s="16"/>
      <c r="C102" s="16"/>
      <c r="D102" s="27"/>
      <c r="E102" s="28"/>
      <c r="F102" s="28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 spans="1:28" ht="15.75">
      <c r="A103" s="26"/>
      <c r="B103" s="16"/>
      <c r="C103" s="16"/>
      <c r="D103" s="27"/>
      <c r="E103" s="28"/>
      <c r="F103" s="28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 spans="1:28" ht="15.75">
      <c r="A104" s="26"/>
      <c r="B104" s="16"/>
      <c r="C104" s="16"/>
      <c r="D104" s="27"/>
      <c r="E104" s="28"/>
      <c r="F104" s="28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 spans="1:28" ht="15.75">
      <c r="A105" s="26"/>
      <c r="B105" s="16"/>
      <c r="C105" s="16"/>
      <c r="D105" s="27"/>
      <c r="E105" s="28"/>
      <c r="F105" s="28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 spans="1:28" ht="15.75">
      <c r="A106" s="26"/>
      <c r="B106" s="16"/>
      <c r="C106" s="16"/>
      <c r="D106" s="27"/>
      <c r="E106" s="28"/>
      <c r="F106" s="28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 spans="1:28" ht="15.75">
      <c r="A107" s="26"/>
      <c r="B107" s="16"/>
      <c r="C107" s="16"/>
      <c r="D107" s="27"/>
      <c r="E107" s="28"/>
      <c r="F107" s="28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 spans="1:28" ht="15.75">
      <c r="A108" s="26"/>
      <c r="B108" s="16"/>
      <c r="C108" s="16"/>
      <c r="D108" s="27"/>
      <c r="E108" s="28"/>
      <c r="F108" s="28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 spans="1:28" ht="15.75">
      <c r="A109" s="26"/>
      <c r="B109" s="16"/>
      <c r="C109" s="16"/>
      <c r="D109" s="27"/>
      <c r="E109" s="28"/>
      <c r="F109" s="28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 spans="1:28" ht="15.75">
      <c r="A110" s="26"/>
      <c r="B110" s="16"/>
      <c r="C110" s="16"/>
      <c r="D110" s="27"/>
      <c r="E110" s="28"/>
      <c r="F110" s="28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 spans="1:28" ht="15.75">
      <c r="A111" s="26"/>
      <c r="B111" s="16"/>
      <c r="C111" s="16"/>
      <c r="D111" s="27"/>
      <c r="E111" s="28"/>
      <c r="F111" s="28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 spans="1:28" ht="15.75">
      <c r="A112" s="26"/>
      <c r="B112" s="16"/>
      <c r="C112" s="16"/>
      <c r="D112" s="27"/>
      <c r="E112" s="28"/>
      <c r="F112" s="28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 spans="1:28" ht="15.75">
      <c r="A113" s="26"/>
      <c r="B113" s="16"/>
      <c r="C113" s="16"/>
      <c r="D113" s="27"/>
      <c r="E113" s="28"/>
      <c r="F113" s="28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 spans="1:28" ht="15.75">
      <c r="A114" s="26"/>
      <c r="B114" s="16"/>
      <c r="C114" s="16"/>
      <c r="D114" s="27"/>
      <c r="E114" s="28"/>
      <c r="F114" s="28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 spans="1:28" ht="15.75">
      <c r="A115" s="26"/>
      <c r="B115" s="16"/>
      <c r="C115" s="16"/>
      <c r="D115" s="27"/>
      <c r="E115" s="28"/>
      <c r="F115" s="28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 spans="1:28" ht="15.75">
      <c r="A116" s="26"/>
      <c r="B116" s="16"/>
      <c r="C116" s="16"/>
      <c r="D116" s="27"/>
      <c r="E116" s="28"/>
      <c r="F116" s="28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 spans="1:28" ht="15.75">
      <c r="A117" s="26"/>
      <c r="B117" s="16"/>
      <c r="C117" s="16"/>
      <c r="D117" s="27"/>
      <c r="E117" s="28"/>
      <c r="F117" s="28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 spans="1:28" ht="15.75">
      <c r="A118" s="26"/>
      <c r="B118" s="16"/>
      <c r="C118" s="16"/>
      <c r="D118" s="27"/>
      <c r="E118" s="28"/>
      <c r="F118" s="28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 spans="1:28" ht="15.75">
      <c r="A119" s="26"/>
      <c r="B119" s="16"/>
      <c r="C119" s="16"/>
      <c r="D119" s="27"/>
      <c r="E119" s="28"/>
      <c r="F119" s="28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 spans="1:28" ht="15.75">
      <c r="A120" s="26"/>
      <c r="B120" s="16"/>
      <c r="C120" s="16"/>
      <c r="D120" s="27"/>
      <c r="E120" s="28"/>
      <c r="F120" s="28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 spans="1:28" ht="15.75">
      <c r="A121" s="26"/>
      <c r="B121" s="16"/>
      <c r="C121" s="16"/>
      <c r="D121" s="27"/>
      <c r="E121" s="28"/>
      <c r="F121" s="28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 spans="1:28" ht="15.75">
      <c r="A122" s="26"/>
      <c r="B122" s="16"/>
      <c r="C122" s="16"/>
      <c r="D122" s="27"/>
      <c r="E122" s="28"/>
      <c r="F122" s="28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 spans="1:28" ht="15.75">
      <c r="A123" s="26"/>
      <c r="B123" s="16"/>
      <c r="C123" s="16"/>
      <c r="D123" s="27"/>
      <c r="E123" s="28"/>
      <c r="F123" s="28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 spans="1:28" ht="15.75">
      <c r="A124" s="26"/>
      <c r="B124" s="16"/>
      <c r="C124" s="16"/>
      <c r="D124" s="27"/>
      <c r="E124" s="28"/>
      <c r="F124" s="28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 spans="1:28" ht="15.75">
      <c r="A125" s="26"/>
      <c r="B125" s="16"/>
      <c r="C125" s="16"/>
      <c r="D125" s="27"/>
      <c r="E125" s="28"/>
      <c r="F125" s="28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 spans="1:28" ht="15.75">
      <c r="A126" s="26"/>
      <c r="B126" s="16"/>
      <c r="C126" s="16"/>
      <c r="D126" s="27"/>
      <c r="E126" s="28"/>
      <c r="F126" s="28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 spans="1:28" ht="15.75">
      <c r="A127" s="26"/>
      <c r="B127" s="16"/>
      <c r="C127" s="16"/>
      <c r="D127" s="27"/>
      <c r="E127" s="28"/>
      <c r="F127" s="28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 spans="1:28" ht="15.75">
      <c r="A128" s="26"/>
      <c r="B128" s="16"/>
      <c r="C128" s="16"/>
      <c r="D128" s="27"/>
      <c r="E128" s="28"/>
      <c r="F128" s="28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 spans="1:28" ht="15.75">
      <c r="A129" s="26"/>
      <c r="B129" s="16"/>
      <c r="C129" s="16"/>
      <c r="D129" s="27"/>
      <c r="E129" s="28"/>
      <c r="F129" s="28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 spans="1:28" ht="15.75">
      <c r="A130" s="26"/>
      <c r="B130" s="16"/>
      <c r="C130" s="16"/>
      <c r="D130" s="27"/>
      <c r="E130" s="28"/>
      <c r="F130" s="28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 spans="1:28" ht="15.75">
      <c r="A131" s="26"/>
      <c r="B131" s="16"/>
      <c r="C131" s="16"/>
      <c r="D131" s="27"/>
      <c r="E131" s="28"/>
      <c r="F131" s="28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 spans="1:28" ht="15.75">
      <c r="A132" s="26"/>
      <c r="B132" s="16"/>
      <c r="C132" s="16"/>
      <c r="D132" s="27"/>
      <c r="E132" s="28"/>
      <c r="F132" s="28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 spans="1:28" ht="15.75">
      <c r="A133" s="26"/>
      <c r="B133" s="16"/>
      <c r="C133" s="16"/>
      <c r="D133" s="27"/>
      <c r="E133" s="28"/>
      <c r="F133" s="28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 spans="1:28" ht="15.75">
      <c r="A134" s="26"/>
      <c r="B134" s="16"/>
      <c r="C134" s="16"/>
      <c r="D134" s="27"/>
      <c r="E134" s="28"/>
      <c r="F134" s="28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 spans="1:28" ht="15.75">
      <c r="A135" s="26"/>
      <c r="B135" s="16"/>
      <c r="C135" s="16"/>
      <c r="D135" s="27"/>
      <c r="E135" s="28"/>
      <c r="F135" s="28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 spans="1:28" ht="15.75">
      <c r="A136" s="26"/>
      <c r="B136" s="16"/>
      <c r="C136" s="16"/>
      <c r="D136" s="27"/>
      <c r="E136" s="28"/>
      <c r="F136" s="28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 spans="1:28" ht="15.75">
      <c r="A137" s="26"/>
      <c r="B137" s="16"/>
      <c r="C137" s="16"/>
      <c r="D137" s="27"/>
      <c r="E137" s="28"/>
      <c r="F137" s="28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 spans="1:28" ht="15.75">
      <c r="A138" s="26"/>
      <c r="B138" s="16"/>
      <c r="C138" s="16"/>
      <c r="D138" s="27"/>
      <c r="E138" s="28"/>
      <c r="F138" s="28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 spans="1:28" ht="15.75">
      <c r="A139" s="26"/>
      <c r="B139" s="16"/>
      <c r="C139" s="16"/>
      <c r="D139" s="27"/>
      <c r="E139" s="28"/>
      <c r="F139" s="28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 spans="1:28" ht="15.75">
      <c r="A140" s="26"/>
      <c r="B140" s="16"/>
      <c r="C140" s="16"/>
      <c r="D140" s="27"/>
      <c r="E140" s="28"/>
      <c r="F140" s="28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 spans="1:28" ht="15.75">
      <c r="A141" s="26"/>
      <c r="B141" s="16"/>
      <c r="C141" s="16"/>
      <c r="D141" s="27"/>
      <c r="E141" s="28"/>
      <c r="F141" s="28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 spans="1:28" ht="15.75">
      <c r="A142" s="26"/>
      <c r="B142" s="16"/>
      <c r="C142" s="16"/>
      <c r="D142" s="27"/>
      <c r="E142" s="28"/>
      <c r="F142" s="28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 spans="1:28" ht="15.75">
      <c r="A143" s="26"/>
      <c r="B143" s="16"/>
      <c r="C143" s="16"/>
      <c r="D143" s="27"/>
      <c r="E143" s="28"/>
      <c r="F143" s="28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 spans="1:28" ht="15.75">
      <c r="A144" s="26"/>
      <c r="B144" s="16"/>
      <c r="C144" s="16"/>
      <c r="D144" s="27"/>
      <c r="E144" s="28"/>
      <c r="F144" s="28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 spans="1:28" ht="15.75">
      <c r="A145" s="26"/>
      <c r="B145" s="16"/>
      <c r="C145" s="16"/>
      <c r="D145" s="27"/>
      <c r="E145" s="28"/>
      <c r="F145" s="28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 spans="1:28" ht="15.75">
      <c r="A146" s="26"/>
      <c r="B146" s="16"/>
      <c r="C146" s="16"/>
      <c r="D146" s="27"/>
      <c r="E146" s="28"/>
      <c r="F146" s="28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 spans="1:28" ht="15.75">
      <c r="A147" s="26"/>
      <c r="B147" s="16"/>
      <c r="C147" s="16"/>
      <c r="D147" s="27"/>
      <c r="E147" s="28"/>
      <c r="F147" s="28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 spans="1:28" ht="15.75">
      <c r="A148" s="26"/>
      <c r="B148" s="16"/>
      <c r="C148" s="16"/>
      <c r="D148" s="27"/>
      <c r="E148" s="28"/>
      <c r="F148" s="28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 spans="1:28" ht="15.75">
      <c r="A149" s="26"/>
      <c r="B149" s="16"/>
      <c r="C149" s="16"/>
      <c r="D149" s="27"/>
      <c r="E149" s="28"/>
      <c r="F149" s="28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 spans="1:28" ht="15.75">
      <c r="A150" s="26"/>
      <c r="B150" s="16"/>
      <c r="C150" s="16"/>
      <c r="D150" s="27"/>
      <c r="E150" s="28"/>
      <c r="F150" s="28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 spans="1:28" ht="15.75">
      <c r="A151" s="26"/>
      <c r="B151" s="16"/>
      <c r="C151" s="16"/>
      <c r="D151" s="27"/>
      <c r="E151" s="28"/>
      <c r="F151" s="28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 spans="1:28" ht="15.75">
      <c r="A152" s="26"/>
      <c r="B152" s="16"/>
      <c r="C152" s="16"/>
      <c r="D152" s="27"/>
      <c r="E152" s="28"/>
      <c r="F152" s="28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 spans="1:28" ht="15.75">
      <c r="A153" s="26"/>
      <c r="B153" s="16"/>
      <c r="C153" s="16"/>
      <c r="D153" s="27"/>
      <c r="E153" s="28"/>
      <c r="F153" s="28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 spans="1:28" ht="15.75">
      <c r="A154" s="26"/>
      <c r="B154" s="16"/>
      <c r="C154" s="16"/>
      <c r="D154" s="27"/>
      <c r="E154" s="28"/>
      <c r="F154" s="28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 spans="1:28" ht="15.75">
      <c r="A155" s="26"/>
      <c r="B155" s="16"/>
      <c r="C155" s="16"/>
      <c r="D155" s="27"/>
      <c r="E155" s="28"/>
      <c r="F155" s="28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 spans="1:28" ht="15.75">
      <c r="A156" s="26"/>
      <c r="B156" s="16"/>
      <c r="C156" s="16"/>
      <c r="D156" s="27"/>
      <c r="E156" s="28"/>
      <c r="F156" s="28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 spans="1:28" ht="15.75">
      <c r="A157" s="26"/>
      <c r="B157" s="16"/>
      <c r="C157" s="16"/>
      <c r="D157" s="27"/>
      <c r="E157" s="28"/>
      <c r="F157" s="28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 spans="1:28" ht="15.75">
      <c r="A158" s="26"/>
      <c r="B158" s="16"/>
      <c r="C158" s="16"/>
      <c r="D158" s="27"/>
      <c r="E158" s="28"/>
      <c r="F158" s="28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 spans="1:28" ht="15.75">
      <c r="A159" s="26"/>
      <c r="B159" s="16"/>
      <c r="C159" s="16"/>
      <c r="D159" s="27"/>
      <c r="E159" s="28"/>
      <c r="F159" s="28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 spans="1:28" ht="15.75">
      <c r="A160" s="26"/>
      <c r="B160" s="16"/>
      <c r="C160" s="16"/>
      <c r="D160" s="27"/>
      <c r="E160" s="28"/>
      <c r="F160" s="28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 spans="1:28" ht="15.75">
      <c r="A161" s="26"/>
      <c r="B161" s="16"/>
      <c r="C161" s="16"/>
      <c r="D161" s="27"/>
      <c r="E161" s="28"/>
      <c r="F161" s="28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 spans="1:28" ht="15.75">
      <c r="A162" s="26"/>
      <c r="B162" s="16"/>
      <c r="C162" s="16"/>
      <c r="D162" s="27"/>
      <c r="E162" s="28"/>
      <c r="F162" s="28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 spans="1:28" ht="15.75">
      <c r="A163" s="26"/>
      <c r="B163" s="16"/>
      <c r="C163" s="16"/>
      <c r="D163" s="27"/>
      <c r="E163" s="28"/>
      <c r="F163" s="28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 spans="1:28" ht="15.75">
      <c r="A164" s="26"/>
      <c r="B164" s="16"/>
      <c r="C164" s="16"/>
      <c r="D164" s="27"/>
      <c r="E164" s="28"/>
      <c r="F164" s="28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 spans="1:28" ht="15.75">
      <c r="A165" s="26"/>
      <c r="B165" s="16"/>
      <c r="C165" s="16"/>
      <c r="D165" s="27"/>
      <c r="E165" s="28"/>
      <c r="F165" s="28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 spans="1:28" ht="15.75">
      <c r="A166" s="26"/>
      <c r="B166" s="16"/>
      <c r="C166" s="16"/>
      <c r="D166" s="27"/>
      <c r="E166" s="28"/>
      <c r="F166" s="28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 spans="1:28" ht="15.75">
      <c r="A167" s="26"/>
      <c r="B167" s="16"/>
      <c r="C167" s="16"/>
      <c r="D167" s="27"/>
      <c r="E167" s="28"/>
      <c r="F167" s="28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 spans="1:28" ht="15.75">
      <c r="A168" s="26"/>
      <c r="B168" s="16"/>
      <c r="C168" s="16"/>
      <c r="D168" s="27"/>
      <c r="E168" s="28"/>
      <c r="F168" s="28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 spans="1:28" ht="15.75">
      <c r="A169" s="26"/>
      <c r="B169" s="16"/>
      <c r="C169" s="16"/>
      <c r="D169" s="27"/>
      <c r="E169" s="28"/>
      <c r="F169" s="28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 spans="1:28" ht="15.75">
      <c r="A170" s="26"/>
      <c r="B170" s="16"/>
      <c r="C170" s="16"/>
      <c r="D170" s="27"/>
      <c r="E170" s="28"/>
      <c r="F170" s="28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 spans="1:28" ht="15.75">
      <c r="A171" s="26"/>
      <c r="B171" s="16"/>
      <c r="C171" s="16"/>
      <c r="D171" s="27"/>
      <c r="E171" s="28"/>
      <c r="F171" s="28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 spans="1:28" ht="15.75">
      <c r="A172" s="26"/>
      <c r="B172" s="16"/>
      <c r="C172" s="16"/>
      <c r="D172" s="27"/>
      <c r="E172" s="28"/>
      <c r="F172" s="28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 spans="1:28" ht="15.75">
      <c r="A173" s="26"/>
      <c r="B173" s="16"/>
      <c r="C173" s="16"/>
      <c r="D173" s="27"/>
      <c r="E173" s="28"/>
      <c r="F173" s="28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 spans="1:28" ht="15.75">
      <c r="A174" s="26"/>
      <c r="B174" s="16"/>
      <c r="C174" s="16"/>
      <c r="D174" s="27"/>
      <c r="E174" s="28"/>
      <c r="F174" s="28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 spans="1:28" ht="15.75">
      <c r="A175" s="26"/>
      <c r="B175" s="16"/>
      <c r="C175" s="16"/>
      <c r="D175" s="27"/>
      <c r="E175" s="28"/>
      <c r="F175" s="28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 spans="1:28" ht="15.75">
      <c r="A176" s="26"/>
      <c r="B176" s="16"/>
      <c r="C176" s="16"/>
      <c r="D176" s="27"/>
      <c r="E176" s="28"/>
      <c r="F176" s="28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 spans="1:28" ht="15.75">
      <c r="A177" s="26"/>
      <c r="B177" s="16"/>
      <c r="C177" s="16"/>
      <c r="D177" s="27"/>
      <c r="E177" s="28"/>
      <c r="F177" s="28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 spans="1:28" ht="15.75">
      <c r="A178" s="26"/>
      <c r="B178" s="16"/>
      <c r="C178" s="16"/>
      <c r="D178" s="27"/>
      <c r="E178" s="28"/>
      <c r="F178" s="28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 spans="1:28" ht="15.75">
      <c r="A179" s="26"/>
      <c r="B179" s="16"/>
      <c r="C179" s="16"/>
      <c r="D179" s="27"/>
      <c r="E179" s="28"/>
      <c r="F179" s="28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 spans="1:28" ht="15.75">
      <c r="A180" s="26"/>
      <c r="B180" s="16"/>
      <c r="C180" s="16"/>
      <c r="D180" s="27"/>
      <c r="E180" s="28"/>
      <c r="F180" s="28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 spans="1:28" ht="15.75">
      <c r="A181" s="26"/>
      <c r="B181" s="16"/>
      <c r="C181" s="16"/>
      <c r="D181" s="27"/>
      <c r="E181" s="28"/>
      <c r="F181" s="28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 spans="1:28" ht="15.75">
      <c r="A182" s="26"/>
      <c r="B182" s="16"/>
      <c r="C182" s="16"/>
      <c r="D182" s="27"/>
      <c r="E182" s="28"/>
      <c r="F182" s="28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 spans="1:28" ht="15.75">
      <c r="A183" s="26"/>
      <c r="B183" s="16"/>
      <c r="C183" s="16"/>
      <c r="D183" s="27"/>
      <c r="E183" s="28"/>
      <c r="F183" s="28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 spans="1:28" ht="15.75">
      <c r="A184" s="26"/>
      <c r="B184" s="16"/>
      <c r="C184" s="16"/>
      <c r="D184" s="27"/>
      <c r="E184" s="28"/>
      <c r="F184" s="28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 spans="1:28" ht="15.75">
      <c r="A185" s="26"/>
      <c r="B185" s="16"/>
      <c r="C185" s="16"/>
      <c r="D185" s="27"/>
      <c r="E185" s="28"/>
      <c r="F185" s="28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 spans="1:28" ht="15.75">
      <c r="A186" s="26"/>
      <c r="B186" s="16"/>
      <c r="C186" s="16"/>
      <c r="D186" s="27"/>
      <c r="E186" s="28"/>
      <c r="F186" s="28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 spans="1:28" ht="15.75">
      <c r="A187" s="26"/>
      <c r="B187" s="16"/>
      <c r="C187" s="16"/>
      <c r="D187" s="27"/>
      <c r="E187" s="28"/>
      <c r="F187" s="28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 spans="1:28" ht="15.75">
      <c r="A188" s="26"/>
      <c r="B188" s="16"/>
      <c r="C188" s="16"/>
      <c r="D188" s="27"/>
      <c r="E188" s="28"/>
      <c r="F188" s="28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 spans="1:28" ht="15.75">
      <c r="A189" s="26"/>
      <c r="B189" s="16"/>
      <c r="C189" s="16"/>
      <c r="D189" s="27"/>
      <c r="E189" s="28"/>
      <c r="F189" s="28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 spans="1:28" ht="15.75">
      <c r="A190" s="26"/>
      <c r="B190" s="16"/>
      <c r="C190" s="16"/>
      <c r="D190" s="27"/>
      <c r="E190" s="28"/>
      <c r="F190" s="28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 spans="1:28" ht="15.75">
      <c r="A191" s="26"/>
      <c r="B191" s="16"/>
      <c r="C191" s="16"/>
      <c r="D191" s="27"/>
      <c r="E191" s="28"/>
      <c r="F191" s="28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 spans="1:28" ht="15.75">
      <c r="A192" s="26"/>
      <c r="B192" s="16"/>
      <c r="C192" s="16"/>
      <c r="D192" s="27"/>
      <c r="E192" s="28"/>
      <c r="F192" s="28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 spans="1:28" ht="15.75">
      <c r="A193" s="26"/>
      <c r="B193" s="16"/>
      <c r="C193" s="16"/>
      <c r="D193" s="27"/>
      <c r="E193" s="28"/>
      <c r="F193" s="28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 spans="1:28" ht="15.75">
      <c r="A194" s="26"/>
      <c r="B194" s="16"/>
      <c r="C194" s="16"/>
      <c r="D194" s="27"/>
      <c r="E194" s="28"/>
      <c r="F194" s="28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 spans="1:28" ht="15.75">
      <c r="A195" s="26"/>
      <c r="B195" s="16"/>
      <c r="C195" s="16"/>
      <c r="D195" s="27"/>
      <c r="E195" s="28"/>
      <c r="F195" s="28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 spans="1:28" ht="15.75">
      <c r="A196" s="26"/>
      <c r="B196" s="16"/>
      <c r="C196" s="16"/>
      <c r="D196" s="27"/>
      <c r="E196" s="28"/>
      <c r="F196" s="28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 spans="1:28" ht="15.75">
      <c r="A197" s="26"/>
      <c r="B197" s="16"/>
      <c r="C197" s="16"/>
      <c r="D197" s="27"/>
      <c r="E197" s="28"/>
      <c r="F197" s="28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 spans="1:28" ht="15.75">
      <c r="A198" s="26"/>
      <c r="B198" s="16"/>
      <c r="C198" s="16"/>
      <c r="D198" s="27"/>
      <c r="E198" s="28"/>
      <c r="F198" s="28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</sheetData>
  <mergeCells count="1">
    <mergeCell ref="A1:H1"/>
  </mergeCells>
  <phoneticPr fontId="1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2"/>
  <sheetViews>
    <sheetView zoomScaleNormal="100" zoomScaleSheetLayoutView="100" workbookViewId="0">
      <selection activeCell="D15" sqref="D15"/>
    </sheetView>
  </sheetViews>
  <sheetFormatPr defaultColWidth="8.75" defaultRowHeight="14.25"/>
  <cols>
    <col min="1" max="1" width="16.375" customWidth="1"/>
    <col min="2" max="2" width="14.5" customWidth="1"/>
    <col min="3" max="3" width="12.875" customWidth="1"/>
    <col min="4" max="4" width="47.625" customWidth="1"/>
    <col min="5" max="5" width="48.25" customWidth="1"/>
    <col min="6" max="6" width="21.75" customWidth="1"/>
    <col min="7" max="23" width="12.875" customWidth="1"/>
  </cols>
  <sheetData>
    <row r="1" spans="1:23" ht="37.5" customHeight="1">
      <c r="A1" s="174" t="s">
        <v>48</v>
      </c>
      <c r="B1" s="175"/>
      <c r="C1" s="175"/>
      <c r="D1" s="175"/>
      <c r="E1" s="175"/>
      <c r="F1" s="175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22.5" customHeight="1">
      <c r="A2" s="51" t="s">
        <v>49</v>
      </c>
      <c r="B2" s="52" t="s">
        <v>50</v>
      </c>
      <c r="C2" s="52" t="s">
        <v>51</v>
      </c>
      <c r="D2" s="53" t="s">
        <v>52</v>
      </c>
      <c r="E2" s="52" t="s">
        <v>53</v>
      </c>
      <c r="F2" s="52" t="s">
        <v>54</v>
      </c>
      <c r="G2" s="40"/>
      <c r="H2" s="40"/>
      <c r="I2" s="40"/>
      <c r="J2" s="40"/>
      <c r="K2" s="40"/>
      <c r="L2" s="40"/>
      <c r="M2" s="40"/>
      <c r="N2" s="40"/>
      <c r="O2" s="6"/>
      <c r="P2" s="6"/>
      <c r="Q2" s="6"/>
      <c r="R2" s="6"/>
      <c r="S2" s="6"/>
      <c r="T2" s="6"/>
      <c r="U2" s="6"/>
      <c r="V2" s="6"/>
      <c r="W2" s="6"/>
    </row>
    <row r="3" spans="1:23" ht="18.75" customHeight="1">
      <c r="A3" s="54">
        <v>43905</v>
      </c>
      <c r="B3" s="55" t="s">
        <v>39</v>
      </c>
      <c r="C3" s="56">
        <v>20.7</v>
      </c>
      <c r="D3" s="57"/>
      <c r="E3" s="55" t="s">
        <v>55</v>
      </c>
      <c r="F3" s="58"/>
      <c r="G3" s="59"/>
      <c r="H3" s="59"/>
      <c r="I3" s="59"/>
      <c r="J3" s="59"/>
      <c r="K3" s="59"/>
      <c r="L3" s="59"/>
      <c r="M3" s="59"/>
      <c r="N3" s="59"/>
      <c r="O3" s="6"/>
      <c r="P3" s="6"/>
      <c r="Q3" s="6"/>
      <c r="R3" s="6"/>
      <c r="S3" s="6"/>
      <c r="T3" s="6"/>
      <c r="U3" s="6"/>
      <c r="V3" s="6"/>
      <c r="W3" s="6"/>
    </row>
    <row r="4" spans="1:23" ht="18.75" customHeight="1">
      <c r="A4" s="60">
        <v>43921</v>
      </c>
      <c r="B4" s="56" t="s">
        <v>56</v>
      </c>
      <c r="C4" s="56">
        <v>204.8</v>
      </c>
      <c r="D4" s="61" t="s">
        <v>57</v>
      </c>
      <c r="E4" s="56" t="s">
        <v>58</v>
      </c>
      <c r="F4" s="62"/>
      <c r="G4" s="59"/>
      <c r="H4" s="59"/>
      <c r="I4" s="59"/>
      <c r="J4" s="59"/>
      <c r="K4" s="59"/>
      <c r="L4" s="59"/>
      <c r="M4" s="59"/>
      <c r="N4" s="59"/>
      <c r="O4" s="6"/>
      <c r="P4" s="6"/>
      <c r="Q4" s="6"/>
      <c r="R4" s="6"/>
      <c r="S4" s="6"/>
      <c r="T4" s="6"/>
      <c r="U4" s="6"/>
      <c r="V4" s="6"/>
      <c r="W4" s="6"/>
    </row>
    <row r="5" spans="1:23" ht="18.75" customHeight="1">
      <c r="A5" s="60">
        <v>43921</v>
      </c>
      <c r="B5" s="56" t="s">
        <v>59</v>
      </c>
      <c r="C5" s="56">
        <v>39.4</v>
      </c>
      <c r="D5" s="61" t="s">
        <v>60</v>
      </c>
      <c r="E5" s="56" t="s">
        <v>61</v>
      </c>
      <c r="F5" s="62"/>
      <c r="G5" s="59"/>
      <c r="H5" s="59"/>
      <c r="I5" s="59"/>
      <c r="J5" s="59"/>
      <c r="K5" s="59"/>
      <c r="L5" s="59"/>
      <c r="M5" s="59"/>
      <c r="N5" s="59"/>
      <c r="O5" s="6"/>
      <c r="P5" s="6"/>
      <c r="Q5" s="6"/>
      <c r="R5" s="6"/>
      <c r="S5" s="6"/>
      <c r="T5" s="6"/>
      <c r="U5" s="6"/>
      <c r="V5" s="6"/>
      <c r="W5" s="6"/>
    </row>
    <row r="6" spans="1:23" ht="18.75" customHeight="1">
      <c r="A6" s="60">
        <v>43921</v>
      </c>
      <c r="B6" s="56" t="s">
        <v>62</v>
      </c>
      <c r="C6" s="56">
        <v>96.6</v>
      </c>
      <c r="D6" s="61"/>
      <c r="E6" s="56" t="s">
        <v>63</v>
      </c>
      <c r="F6" s="62"/>
      <c r="G6" s="59"/>
      <c r="H6" s="59"/>
      <c r="I6" s="59"/>
      <c r="J6" s="59"/>
      <c r="K6" s="59"/>
      <c r="L6" s="59"/>
      <c r="M6" s="59"/>
      <c r="N6" s="59"/>
      <c r="O6" s="6"/>
      <c r="P6" s="6"/>
      <c r="Q6" s="6"/>
      <c r="R6" s="6"/>
      <c r="S6" s="6"/>
      <c r="T6" s="6"/>
      <c r="U6" s="6"/>
      <c r="V6" s="6"/>
      <c r="W6" s="6"/>
    </row>
    <row r="7" spans="1:23" ht="18.75" customHeight="1">
      <c r="A7" s="60">
        <v>43921</v>
      </c>
      <c r="B7" s="56" t="s">
        <v>64</v>
      </c>
      <c r="C7" s="63">
        <v>204.5</v>
      </c>
      <c r="D7" s="61" t="s">
        <v>65</v>
      </c>
      <c r="E7" s="56" t="s">
        <v>66</v>
      </c>
      <c r="F7" s="62"/>
      <c r="G7" s="59"/>
      <c r="H7" s="59"/>
      <c r="I7" s="59"/>
      <c r="J7" s="59"/>
      <c r="K7" s="59"/>
      <c r="L7" s="59"/>
      <c r="M7" s="59"/>
      <c r="N7" s="59"/>
      <c r="O7" s="6"/>
      <c r="P7" s="6"/>
      <c r="Q7" s="6"/>
      <c r="R7" s="6"/>
      <c r="S7" s="6"/>
      <c r="T7" s="6"/>
      <c r="U7" s="6"/>
      <c r="V7" s="6"/>
      <c r="W7" s="6"/>
    </row>
    <row r="8" spans="1:23" ht="18.75" customHeight="1">
      <c r="A8" s="60">
        <v>43921</v>
      </c>
      <c r="B8" s="56" t="s">
        <v>67</v>
      </c>
      <c r="C8" s="63">
        <v>59</v>
      </c>
      <c r="D8" s="61" t="s">
        <v>68</v>
      </c>
      <c r="E8" s="56" t="s">
        <v>69</v>
      </c>
      <c r="F8" s="62"/>
      <c r="G8" s="59"/>
      <c r="H8" s="59"/>
      <c r="I8" s="59"/>
      <c r="J8" s="59"/>
      <c r="K8" s="59"/>
      <c r="L8" s="59"/>
      <c r="M8" s="59"/>
      <c r="N8" s="59"/>
      <c r="O8" s="6"/>
      <c r="P8" s="6"/>
      <c r="Q8" s="6"/>
      <c r="R8" s="6"/>
      <c r="S8" s="6"/>
      <c r="T8" s="6"/>
      <c r="U8" s="6"/>
      <c r="V8" s="6"/>
      <c r="W8" s="6"/>
    </row>
    <row r="9" spans="1:23" ht="18.75" customHeight="1">
      <c r="A9" s="60">
        <v>43937</v>
      </c>
      <c r="B9" s="56" t="s">
        <v>39</v>
      </c>
      <c r="C9" s="63">
        <v>6.9</v>
      </c>
      <c r="D9" s="61" t="s">
        <v>70</v>
      </c>
      <c r="E9" s="56" t="s">
        <v>71</v>
      </c>
      <c r="F9" s="62"/>
      <c r="G9" s="59"/>
      <c r="H9" s="59"/>
      <c r="I9" s="59"/>
      <c r="J9" s="59"/>
      <c r="K9" s="59"/>
      <c r="L9" s="59"/>
      <c r="M9" s="59"/>
      <c r="N9" s="59"/>
      <c r="O9" s="6"/>
      <c r="P9" s="6"/>
      <c r="Q9" s="6"/>
      <c r="R9" s="6"/>
      <c r="S9" s="6"/>
      <c r="T9" s="6"/>
      <c r="U9" s="6"/>
      <c r="V9" s="6"/>
      <c r="W9" s="6"/>
    </row>
    <row r="10" spans="1:23" ht="18.75" customHeight="1">
      <c r="A10" s="60">
        <v>43947</v>
      </c>
      <c r="B10" s="56" t="s">
        <v>72</v>
      </c>
      <c r="C10" s="63">
        <v>312</v>
      </c>
      <c r="D10" s="61" t="s">
        <v>73</v>
      </c>
      <c r="E10" s="56"/>
      <c r="F10" s="62"/>
      <c r="G10" s="59"/>
      <c r="H10" s="59"/>
      <c r="I10" s="59"/>
      <c r="J10" s="59"/>
      <c r="K10" s="59"/>
      <c r="L10" s="59"/>
      <c r="M10" s="59"/>
      <c r="N10" s="59"/>
      <c r="O10" s="6"/>
      <c r="P10" s="6"/>
      <c r="Q10" s="6"/>
      <c r="R10" s="6"/>
      <c r="S10" s="6"/>
      <c r="T10" s="6"/>
      <c r="U10" s="6"/>
      <c r="V10" s="6"/>
      <c r="W10" s="6"/>
    </row>
    <row r="11" spans="1:23" ht="18.75" customHeight="1">
      <c r="A11" s="60">
        <v>43951</v>
      </c>
      <c r="B11" s="56" t="s">
        <v>74</v>
      </c>
      <c r="C11" s="63">
        <v>149.6</v>
      </c>
      <c r="D11" s="61" t="s">
        <v>75</v>
      </c>
      <c r="E11" s="56"/>
      <c r="F11" s="62"/>
      <c r="G11" s="59"/>
      <c r="H11" s="59"/>
      <c r="I11" s="59"/>
      <c r="J11" s="59"/>
      <c r="K11" s="59"/>
      <c r="L11" s="59"/>
      <c r="M11" s="59"/>
      <c r="N11" s="59"/>
      <c r="O11" s="6"/>
      <c r="P11" s="6"/>
      <c r="Q11" s="6"/>
      <c r="R11" s="6"/>
      <c r="S11" s="6"/>
      <c r="T11" s="6"/>
      <c r="U11" s="6"/>
      <c r="V11" s="6"/>
      <c r="W11" s="6"/>
    </row>
    <row r="12" spans="1:23" ht="18.75" customHeight="1">
      <c r="A12" s="60">
        <v>44012</v>
      </c>
      <c r="B12" s="56" t="s">
        <v>76</v>
      </c>
      <c r="C12" s="63">
        <v>138</v>
      </c>
      <c r="D12" s="64" t="s">
        <v>77</v>
      </c>
      <c r="E12" s="65"/>
      <c r="F12" s="62"/>
      <c r="G12" s="40"/>
      <c r="H12" s="40"/>
      <c r="I12" s="40"/>
      <c r="J12" s="40"/>
      <c r="K12" s="40"/>
      <c r="L12" s="40"/>
      <c r="M12" s="40"/>
      <c r="N12" s="40"/>
      <c r="O12" s="11"/>
      <c r="P12" s="11"/>
      <c r="Q12" s="11"/>
      <c r="R12" s="11"/>
      <c r="S12" s="11"/>
      <c r="T12" s="11"/>
      <c r="U12" s="11"/>
      <c r="V12" s="11"/>
      <c r="W12" s="11"/>
    </row>
    <row r="13" spans="1:23" ht="18.75" customHeight="1">
      <c r="A13" s="60">
        <v>44012</v>
      </c>
      <c r="B13" s="56" t="s">
        <v>78</v>
      </c>
      <c r="C13" s="63">
        <v>138</v>
      </c>
      <c r="D13" s="64" t="s">
        <v>77</v>
      </c>
      <c r="E13" s="65"/>
      <c r="F13" s="62"/>
      <c r="G13" s="40"/>
      <c r="H13" s="40"/>
      <c r="I13" s="40"/>
      <c r="J13" s="40"/>
      <c r="K13" s="40"/>
      <c r="L13" s="40"/>
      <c r="M13" s="40"/>
      <c r="N13" s="40"/>
      <c r="O13" s="11"/>
      <c r="P13" s="11"/>
      <c r="Q13" s="11"/>
      <c r="R13" s="11"/>
      <c r="S13" s="11"/>
      <c r="T13" s="11"/>
      <c r="U13" s="11"/>
      <c r="V13" s="11"/>
      <c r="W13" s="11"/>
    </row>
    <row r="14" spans="1:23" ht="18.75" customHeight="1">
      <c r="A14" s="62"/>
      <c r="B14" s="66" t="s">
        <v>79</v>
      </c>
      <c r="C14" s="62">
        <v>129</v>
      </c>
      <c r="D14" s="67" t="s">
        <v>80</v>
      </c>
      <c r="E14" s="66" t="s">
        <v>81</v>
      </c>
      <c r="F14" s="66" t="s">
        <v>82</v>
      </c>
      <c r="G14" s="40"/>
      <c r="H14" s="40"/>
      <c r="I14" s="40"/>
      <c r="J14" s="40"/>
      <c r="K14" s="40"/>
      <c r="L14" s="40"/>
      <c r="M14" s="40"/>
      <c r="N14" s="40"/>
      <c r="O14" s="59"/>
      <c r="P14" s="59"/>
      <c r="Q14" s="59"/>
      <c r="R14" s="59"/>
      <c r="S14" s="59"/>
      <c r="T14" s="59"/>
      <c r="U14" s="59"/>
      <c r="V14" s="59"/>
      <c r="W14" s="59"/>
    </row>
    <row r="15" spans="1:23" ht="18.75" customHeight="1">
      <c r="A15" s="59"/>
      <c r="B15" s="59"/>
      <c r="C15" s="59"/>
      <c r="D15" s="68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59"/>
      <c r="P15" s="59"/>
      <c r="Q15" s="59"/>
      <c r="R15" s="59"/>
      <c r="S15" s="59"/>
      <c r="T15" s="59"/>
      <c r="U15" s="59"/>
      <c r="V15" s="59"/>
      <c r="W15" s="59"/>
    </row>
    <row r="16" spans="1:23" ht="18.75" customHeight="1">
      <c r="A16" s="59"/>
      <c r="B16" s="59"/>
      <c r="C16" s="59"/>
      <c r="D16" s="68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</row>
    <row r="17" spans="1:23" ht="18.75" customHeight="1">
      <c r="A17" s="59"/>
      <c r="B17" s="59"/>
      <c r="C17" s="59"/>
      <c r="D17" s="68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</row>
    <row r="18" spans="1:23" ht="18.75" customHeight="1">
      <c r="A18" s="59"/>
      <c r="B18" s="59"/>
      <c r="C18" s="59"/>
      <c r="D18" s="68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</row>
    <row r="19" spans="1:23" ht="18.75" customHeight="1">
      <c r="A19" s="59"/>
      <c r="B19" s="59"/>
      <c r="C19" s="59"/>
      <c r="D19" s="68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</row>
    <row r="20" spans="1:23" ht="18.75" customHeight="1">
      <c r="A20" s="59"/>
      <c r="B20" s="59"/>
      <c r="C20" s="59"/>
      <c r="D20" s="68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</row>
    <row r="21" spans="1:23" ht="18.75" customHeight="1">
      <c r="A21" s="59"/>
      <c r="B21" s="59"/>
      <c r="C21" s="59"/>
      <c r="D21" s="68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</row>
    <row r="22" spans="1:23" ht="18.75" customHeight="1">
      <c r="A22" s="59"/>
      <c r="B22" s="59"/>
      <c r="C22" s="59"/>
      <c r="D22" s="68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</row>
    <row r="23" spans="1:23" ht="16.5">
      <c r="A23" s="59"/>
      <c r="B23" s="59"/>
      <c r="C23" s="59"/>
      <c r="D23" s="68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</row>
    <row r="24" spans="1:23" ht="16.5">
      <c r="A24" s="59"/>
      <c r="B24" s="59"/>
      <c r="C24" s="59"/>
      <c r="D24" s="68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</row>
    <row r="25" spans="1:23" ht="16.5">
      <c r="A25" s="59"/>
      <c r="B25" s="59"/>
      <c r="C25" s="59"/>
      <c r="D25" s="68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</row>
    <row r="26" spans="1:23" ht="16.5">
      <c r="A26" s="59"/>
      <c r="B26" s="59"/>
      <c r="C26" s="59"/>
      <c r="D26" s="68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</row>
    <row r="27" spans="1:23" ht="16.5">
      <c r="A27" s="59"/>
      <c r="B27" s="59"/>
      <c r="C27" s="59"/>
      <c r="D27" s="68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</row>
    <row r="28" spans="1:23" ht="16.5">
      <c r="A28" s="59"/>
      <c r="B28" s="59"/>
      <c r="C28" s="59"/>
      <c r="D28" s="68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</row>
    <row r="29" spans="1:23" ht="16.5">
      <c r="A29" s="59"/>
      <c r="B29" s="59"/>
      <c r="C29" s="59"/>
      <c r="D29" s="68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</row>
    <row r="30" spans="1:23" ht="16.5">
      <c r="A30" s="59"/>
      <c r="B30" s="59"/>
      <c r="C30" s="59"/>
      <c r="D30" s="68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</row>
    <row r="31" spans="1:23" ht="16.5">
      <c r="A31" s="59"/>
      <c r="B31" s="59"/>
      <c r="C31" s="59"/>
      <c r="D31" s="68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</row>
    <row r="32" spans="1:23" ht="16.5">
      <c r="A32" s="59"/>
      <c r="B32" s="59"/>
      <c r="C32" s="59"/>
      <c r="D32" s="68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</row>
    <row r="33" spans="1:23" ht="16.5">
      <c r="A33" s="59"/>
      <c r="B33" s="59"/>
      <c r="C33" s="59"/>
      <c r="D33" s="68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</row>
    <row r="34" spans="1:23" ht="16.5">
      <c r="A34" s="59"/>
      <c r="B34" s="59"/>
      <c r="C34" s="59"/>
      <c r="D34" s="68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</row>
    <row r="35" spans="1:23" ht="16.5">
      <c r="A35" s="59"/>
      <c r="B35" s="59"/>
      <c r="C35" s="59"/>
      <c r="D35" s="68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</row>
    <row r="36" spans="1:23" ht="16.5">
      <c r="A36" s="59"/>
      <c r="B36" s="59"/>
      <c r="C36" s="59"/>
      <c r="D36" s="68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</row>
    <row r="37" spans="1:23" ht="16.5">
      <c r="A37" s="59"/>
      <c r="B37" s="59"/>
      <c r="C37" s="59"/>
      <c r="D37" s="68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</row>
    <row r="38" spans="1:23" ht="16.5">
      <c r="A38" s="59"/>
      <c r="B38" s="59"/>
      <c r="C38" s="59"/>
      <c r="D38" s="68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</row>
    <row r="39" spans="1:23" ht="16.5">
      <c r="A39" s="59"/>
      <c r="B39" s="59"/>
      <c r="C39" s="59"/>
      <c r="D39" s="68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</row>
    <row r="40" spans="1:23" ht="16.5">
      <c r="A40" s="59"/>
      <c r="B40" s="59"/>
      <c r="C40" s="59"/>
      <c r="D40" s="68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</row>
    <row r="41" spans="1:23" ht="16.5">
      <c r="A41" s="59"/>
      <c r="B41" s="59"/>
      <c r="C41" s="59"/>
      <c r="D41" s="68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</row>
    <row r="42" spans="1:23" ht="16.5">
      <c r="A42" s="59"/>
      <c r="B42" s="59"/>
      <c r="C42" s="59"/>
      <c r="D42" s="68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</row>
    <row r="43" spans="1:23" ht="16.5">
      <c r="A43" s="59"/>
      <c r="B43" s="59"/>
      <c r="C43" s="59"/>
      <c r="D43" s="68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</row>
    <row r="44" spans="1:23" ht="16.5">
      <c r="A44" s="59"/>
      <c r="B44" s="59"/>
      <c r="C44" s="59"/>
      <c r="D44" s="68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</row>
    <row r="45" spans="1:23" ht="16.5">
      <c r="A45" s="59"/>
      <c r="B45" s="59"/>
      <c r="C45" s="59"/>
      <c r="D45" s="68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</row>
    <row r="46" spans="1:23" ht="16.5">
      <c r="A46" s="59"/>
      <c r="B46" s="59"/>
      <c r="C46" s="59"/>
      <c r="D46" s="68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</row>
    <row r="47" spans="1:23" ht="16.5">
      <c r="A47" s="59"/>
      <c r="B47" s="59"/>
      <c r="C47" s="59"/>
      <c r="D47" s="68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</row>
    <row r="48" spans="1:23" ht="16.5">
      <c r="A48" s="59"/>
      <c r="B48" s="59"/>
      <c r="C48" s="59"/>
      <c r="D48" s="68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</row>
    <row r="49" spans="1:23" ht="16.5">
      <c r="A49" s="59"/>
      <c r="B49" s="59"/>
      <c r="C49" s="59"/>
      <c r="D49" s="68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</row>
    <row r="50" spans="1:23" ht="16.5">
      <c r="A50" s="59"/>
      <c r="B50" s="59"/>
      <c r="C50" s="59"/>
      <c r="D50" s="68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</row>
    <row r="51" spans="1:23" ht="16.5">
      <c r="A51" s="59"/>
      <c r="B51" s="59"/>
      <c r="C51" s="59"/>
      <c r="D51" s="68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</row>
    <row r="52" spans="1:23" ht="16.5">
      <c r="A52" s="59"/>
      <c r="B52" s="59"/>
      <c r="C52" s="59"/>
      <c r="D52" s="68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</row>
    <row r="53" spans="1:23" ht="16.5">
      <c r="A53" s="59"/>
      <c r="B53" s="59"/>
      <c r="C53" s="59"/>
      <c r="D53" s="68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</row>
    <row r="54" spans="1:23" ht="16.5">
      <c r="A54" s="59"/>
      <c r="B54" s="59"/>
      <c r="C54" s="59"/>
      <c r="D54" s="68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</row>
    <row r="55" spans="1:23" ht="16.5">
      <c r="A55" s="59"/>
      <c r="B55" s="59"/>
      <c r="C55" s="59"/>
      <c r="D55" s="68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</row>
    <row r="56" spans="1:23" ht="16.5">
      <c r="A56" s="59"/>
      <c r="B56" s="59"/>
      <c r="C56" s="59"/>
      <c r="D56" s="68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</row>
    <row r="57" spans="1:23" ht="16.5">
      <c r="A57" s="59"/>
      <c r="B57" s="59"/>
      <c r="C57" s="59"/>
      <c r="D57" s="68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</row>
    <row r="58" spans="1:23" ht="16.5">
      <c r="A58" s="59"/>
      <c r="B58" s="59"/>
      <c r="C58" s="59"/>
      <c r="D58" s="68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</row>
    <row r="59" spans="1:23" ht="16.5">
      <c r="A59" s="59"/>
      <c r="B59" s="59"/>
      <c r="C59" s="59"/>
      <c r="D59" s="68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</row>
    <row r="60" spans="1:23" ht="16.5">
      <c r="A60" s="59"/>
      <c r="B60" s="59"/>
      <c r="C60" s="59"/>
      <c r="D60" s="68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</row>
    <row r="61" spans="1:23" ht="16.5">
      <c r="A61" s="59"/>
      <c r="B61" s="59"/>
      <c r="C61" s="59"/>
      <c r="D61" s="68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</row>
    <row r="62" spans="1:23" ht="16.5">
      <c r="A62" s="59"/>
      <c r="B62" s="59"/>
      <c r="C62" s="59"/>
      <c r="D62" s="68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</row>
    <row r="63" spans="1:23" ht="16.5">
      <c r="A63" s="59"/>
      <c r="B63" s="59"/>
      <c r="C63" s="59"/>
      <c r="D63" s="68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</row>
    <row r="64" spans="1:23" ht="16.5">
      <c r="A64" s="59"/>
      <c r="B64" s="59"/>
      <c r="C64" s="59"/>
      <c r="D64" s="68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</row>
    <row r="65" spans="1:23" ht="16.5">
      <c r="A65" s="59"/>
      <c r="B65" s="59"/>
      <c r="C65" s="59"/>
      <c r="D65" s="68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</row>
    <row r="66" spans="1:23" ht="16.5">
      <c r="A66" s="59"/>
      <c r="B66" s="59"/>
      <c r="C66" s="59"/>
      <c r="D66" s="68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</row>
    <row r="67" spans="1:23" ht="16.5">
      <c r="A67" s="59"/>
      <c r="B67" s="59"/>
      <c r="C67" s="59"/>
      <c r="D67" s="68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</row>
    <row r="68" spans="1:23" ht="16.5">
      <c r="A68" s="59"/>
      <c r="B68" s="59"/>
      <c r="C68" s="59"/>
      <c r="D68" s="68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</row>
    <row r="69" spans="1:23" ht="16.5">
      <c r="A69" s="59"/>
      <c r="B69" s="59"/>
      <c r="C69" s="59"/>
      <c r="D69" s="68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</row>
    <row r="70" spans="1:23" ht="16.5">
      <c r="A70" s="59"/>
      <c r="B70" s="59"/>
      <c r="C70" s="59"/>
      <c r="D70" s="68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</row>
    <row r="71" spans="1:23" ht="16.5">
      <c r="A71" s="59"/>
      <c r="B71" s="59"/>
      <c r="C71" s="59"/>
      <c r="D71" s="68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</row>
    <row r="72" spans="1:23" ht="16.5">
      <c r="A72" s="59"/>
      <c r="B72" s="59"/>
      <c r="C72" s="59"/>
      <c r="D72" s="68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</row>
    <row r="73" spans="1:23" ht="16.5">
      <c r="A73" s="59"/>
      <c r="B73" s="59"/>
      <c r="C73" s="59"/>
      <c r="D73" s="68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</row>
    <row r="74" spans="1:23" ht="16.5">
      <c r="A74" s="59"/>
      <c r="B74" s="59"/>
      <c r="C74" s="59"/>
      <c r="D74" s="68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</row>
    <row r="75" spans="1:23" ht="16.5">
      <c r="A75" s="59"/>
      <c r="B75" s="59"/>
      <c r="C75" s="59"/>
      <c r="D75" s="68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</row>
    <row r="76" spans="1:23" ht="16.5">
      <c r="A76" s="59"/>
      <c r="B76" s="59"/>
      <c r="C76" s="59"/>
      <c r="D76" s="68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</row>
    <row r="77" spans="1:23" ht="16.5">
      <c r="A77" s="59"/>
      <c r="B77" s="59"/>
      <c r="C77" s="59"/>
      <c r="D77" s="68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</row>
    <row r="78" spans="1:23" ht="16.5">
      <c r="A78" s="59"/>
      <c r="B78" s="59"/>
      <c r="C78" s="59"/>
      <c r="D78" s="68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</row>
    <row r="79" spans="1:23" ht="16.5">
      <c r="A79" s="59"/>
      <c r="B79" s="59"/>
      <c r="C79" s="59"/>
      <c r="D79" s="68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</row>
    <row r="80" spans="1:23" ht="16.5">
      <c r="A80" s="59"/>
      <c r="B80" s="59"/>
      <c r="C80" s="59"/>
      <c r="D80" s="68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</row>
    <row r="81" spans="1:23" ht="16.5">
      <c r="A81" s="59"/>
      <c r="B81" s="59"/>
      <c r="C81" s="59"/>
      <c r="D81" s="68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</row>
    <row r="82" spans="1:23" ht="16.5">
      <c r="A82" s="59"/>
      <c r="B82" s="59"/>
      <c r="C82" s="59"/>
      <c r="D82" s="68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 spans="1:23" ht="16.5">
      <c r="A83" s="59"/>
      <c r="B83" s="59"/>
      <c r="C83" s="59"/>
      <c r="D83" s="68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 spans="1:23" ht="16.5">
      <c r="A84" s="59"/>
      <c r="B84" s="59"/>
      <c r="C84" s="59"/>
      <c r="D84" s="68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 spans="1:23" ht="16.5">
      <c r="A85" s="59"/>
      <c r="B85" s="59"/>
      <c r="C85" s="59"/>
      <c r="D85" s="68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 spans="1:23" ht="16.5">
      <c r="A86" s="59"/>
      <c r="B86" s="59"/>
      <c r="C86" s="59"/>
      <c r="D86" s="68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 spans="1:23" ht="16.5">
      <c r="A87" s="59"/>
      <c r="B87" s="59"/>
      <c r="C87" s="59"/>
      <c r="D87" s="68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 spans="1:23" ht="16.5">
      <c r="A88" s="59"/>
      <c r="B88" s="59"/>
      <c r="C88" s="59"/>
      <c r="D88" s="68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 spans="1:23" ht="16.5">
      <c r="A89" s="59"/>
      <c r="B89" s="59"/>
      <c r="C89" s="59"/>
      <c r="D89" s="68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 spans="1:23" ht="16.5">
      <c r="A90" s="59"/>
      <c r="B90" s="59"/>
      <c r="C90" s="59"/>
      <c r="D90" s="68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 spans="1:23" ht="16.5">
      <c r="A91" s="59"/>
      <c r="B91" s="59"/>
      <c r="C91" s="59"/>
      <c r="D91" s="68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 spans="1:23" ht="16.5">
      <c r="A92" s="59"/>
      <c r="B92" s="59"/>
      <c r="C92" s="59"/>
      <c r="D92" s="68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</row>
    <row r="93" spans="1:23" ht="16.5">
      <c r="A93" s="59"/>
      <c r="B93" s="59"/>
      <c r="C93" s="59"/>
      <c r="D93" s="68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</row>
    <row r="94" spans="1:23" ht="16.5">
      <c r="A94" s="59"/>
      <c r="B94" s="59"/>
      <c r="C94" s="59"/>
      <c r="D94" s="68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</row>
    <row r="95" spans="1:23" ht="16.5">
      <c r="A95" s="59"/>
      <c r="B95" s="59"/>
      <c r="C95" s="59"/>
      <c r="D95" s="68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</row>
    <row r="96" spans="1:23" ht="16.5">
      <c r="A96" s="59"/>
      <c r="B96" s="59"/>
      <c r="C96" s="59"/>
      <c r="D96" s="68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</row>
    <row r="97" spans="1:23" ht="16.5">
      <c r="A97" s="59"/>
      <c r="B97" s="59"/>
      <c r="C97" s="59"/>
      <c r="D97" s="68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</row>
    <row r="98" spans="1:23" ht="16.5">
      <c r="A98" s="59"/>
      <c r="B98" s="59"/>
      <c r="C98" s="59"/>
      <c r="D98" s="68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</row>
    <row r="99" spans="1:23" ht="16.5">
      <c r="A99" s="59"/>
      <c r="B99" s="59"/>
      <c r="C99" s="59"/>
      <c r="D99" s="68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</row>
    <row r="100" spans="1:23" ht="16.5">
      <c r="A100" s="59"/>
      <c r="B100" s="59"/>
      <c r="C100" s="59"/>
      <c r="D100" s="68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</row>
    <row r="101" spans="1:23" ht="16.5">
      <c r="A101" s="59"/>
      <c r="B101" s="59"/>
      <c r="C101" s="59"/>
      <c r="D101" s="68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</row>
    <row r="102" spans="1:23" ht="16.5">
      <c r="A102" s="59"/>
      <c r="B102" s="59"/>
      <c r="C102" s="59"/>
      <c r="D102" s="68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</row>
    <row r="103" spans="1:23" ht="16.5">
      <c r="A103" s="59"/>
      <c r="B103" s="59"/>
      <c r="C103" s="59"/>
      <c r="D103" s="68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</row>
    <row r="104" spans="1:23" ht="16.5">
      <c r="A104" s="59"/>
      <c r="B104" s="59"/>
      <c r="C104" s="59"/>
      <c r="D104" s="68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</row>
    <row r="105" spans="1:23" ht="16.5">
      <c r="A105" s="59"/>
      <c r="B105" s="59"/>
      <c r="C105" s="59"/>
      <c r="D105" s="68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</row>
    <row r="106" spans="1:23" ht="16.5">
      <c r="A106" s="59"/>
      <c r="B106" s="59"/>
      <c r="C106" s="59"/>
      <c r="D106" s="68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</row>
    <row r="107" spans="1:23" ht="16.5">
      <c r="A107" s="59"/>
      <c r="B107" s="59"/>
      <c r="C107" s="59"/>
      <c r="D107" s="68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</row>
    <row r="108" spans="1:23" ht="16.5">
      <c r="A108" s="59"/>
      <c r="B108" s="59"/>
      <c r="C108" s="59"/>
      <c r="D108" s="68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</row>
    <row r="109" spans="1:23" ht="16.5">
      <c r="A109" s="59"/>
      <c r="B109" s="59"/>
      <c r="C109" s="59"/>
      <c r="D109" s="68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</row>
    <row r="110" spans="1:23" ht="16.5">
      <c r="A110" s="59"/>
      <c r="B110" s="59"/>
      <c r="C110" s="59"/>
      <c r="D110" s="68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</row>
    <row r="111" spans="1:23" ht="16.5">
      <c r="A111" s="59"/>
      <c r="B111" s="59"/>
      <c r="C111" s="59"/>
      <c r="D111" s="68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</row>
    <row r="112" spans="1:23" ht="16.5">
      <c r="A112" s="59"/>
      <c r="B112" s="59"/>
      <c r="C112" s="59"/>
      <c r="D112" s="68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</row>
    <row r="113" spans="1:23" ht="16.5">
      <c r="A113" s="59"/>
      <c r="B113" s="59"/>
      <c r="C113" s="59"/>
      <c r="D113" s="68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</row>
    <row r="114" spans="1:23" ht="16.5">
      <c r="A114" s="59"/>
      <c r="B114" s="59"/>
      <c r="C114" s="59"/>
      <c r="D114" s="68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</row>
    <row r="115" spans="1:23" ht="16.5">
      <c r="A115" s="59"/>
      <c r="B115" s="59"/>
      <c r="C115" s="59"/>
      <c r="D115" s="68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</row>
    <row r="116" spans="1:23" ht="16.5">
      <c r="A116" s="59"/>
      <c r="B116" s="59"/>
      <c r="C116" s="59"/>
      <c r="D116" s="68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</row>
    <row r="117" spans="1:23" ht="16.5">
      <c r="A117" s="59"/>
      <c r="B117" s="59"/>
      <c r="C117" s="59"/>
      <c r="D117" s="68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</row>
    <row r="118" spans="1:23" ht="16.5">
      <c r="A118" s="59"/>
      <c r="B118" s="59"/>
      <c r="C118" s="59"/>
      <c r="D118" s="68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</row>
    <row r="119" spans="1:23" ht="16.5">
      <c r="A119" s="59"/>
      <c r="B119" s="59"/>
      <c r="C119" s="59"/>
      <c r="D119" s="68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</row>
    <row r="120" spans="1:23" ht="16.5">
      <c r="A120" s="59"/>
      <c r="B120" s="59"/>
      <c r="C120" s="59"/>
      <c r="D120" s="68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</row>
    <row r="121" spans="1:23" ht="16.5">
      <c r="A121" s="59"/>
      <c r="B121" s="59"/>
      <c r="C121" s="59"/>
      <c r="D121" s="68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</row>
    <row r="122" spans="1:23" ht="16.5">
      <c r="A122" s="59"/>
      <c r="B122" s="59"/>
      <c r="C122" s="59"/>
      <c r="D122" s="68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</row>
    <row r="123" spans="1:23" ht="16.5">
      <c r="A123" s="59"/>
      <c r="B123" s="59"/>
      <c r="C123" s="59"/>
      <c r="D123" s="68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</row>
    <row r="124" spans="1:23" ht="16.5">
      <c r="A124" s="59"/>
      <c r="B124" s="59"/>
      <c r="C124" s="59"/>
      <c r="D124" s="68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</row>
    <row r="125" spans="1:23" ht="16.5">
      <c r="A125" s="59"/>
      <c r="B125" s="59"/>
      <c r="C125" s="59"/>
      <c r="D125" s="68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</row>
    <row r="126" spans="1:23" ht="16.5">
      <c r="A126" s="59"/>
      <c r="B126" s="59"/>
      <c r="C126" s="59"/>
      <c r="D126" s="68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</row>
    <row r="127" spans="1:23" ht="16.5">
      <c r="A127" s="59"/>
      <c r="B127" s="59"/>
      <c r="C127" s="59"/>
      <c r="D127" s="68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</row>
    <row r="128" spans="1:23" ht="16.5">
      <c r="A128" s="59"/>
      <c r="B128" s="59"/>
      <c r="C128" s="59"/>
      <c r="D128" s="68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</row>
    <row r="129" spans="1:23" ht="16.5">
      <c r="A129" s="59"/>
      <c r="B129" s="59"/>
      <c r="C129" s="59"/>
      <c r="D129" s="68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</row>
    <row r="130" spans="1:23" ht="16.5">
      <c r="A130" s="59"/>
      <c r="B130" s="59"/>
      <c r="C130" s="59"/>
      <c r="D130" s="68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</row>
    <row r="131" spans="1:23" ht="16.5">
      <c r="A131" s="59"/>
      <c r="B131" s="59"/>
      <c r="C131" s="59"/>
      <c r="D131" s="68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</row>
    <row r="132" spans="1:23" ht="16.5">
      <c r="A132" s="59"/>
      <c r="B132" s="59"/>
      <c r="C132" s="59"/>
      <c r="D132" s="68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</row>
    <row r="133" spans="1:23" ht="16.5">
      <c r="A133" s="59"/>
      <c r="B133" s="59"/>
      <c r="C133" s="59"/>
      <c r="D133" s="68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</row>
    <row r="134" spans="1:23" ht="16.5">
      <c r="A134" s="59"/>
      <c r="B134" s="59"/>
      <c r="C134" s="59"/>
      <c r="D134" s="68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</row>
    <row r="135" spans="1:23" ht="16.5">
      <c r="A135" s="59"/>
      <c r="B135" s="59"/>
      <c r="C135" s="59"/>
      <c r="D135" s="68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</row>
    <row r="136" spans="1:23" ht="16.5">
      <c r="A136" s="59"/>
      <c r="B136" s="59"/>
      <c r="C136" s="59"/>
      <c r="D136" s="68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</row>
    <row r="137" spans="1:23" ht="16.5">
      <c r="A137" s="59"/>
      <c r="B137" s="59"/>
      <c r="C137" s="59"/>
      <c r="D137" s="68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</row>
    <row r="138" spans="1:23" ht="16.5">
      <c r="A138" s="59"/>
      <c r="B138" s="59"/>
      <c r="C138" s="59"/>
      <c r="D138" s="68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</row>
    <row r="139" spans="1:23" ht="16.5">
      <c r="A139" s="59"/>
      <c r="B139" s="59"/>
      <c r="C139" s="59"/>
      <c r="D139" s="68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</row>
    <row r="140" spans="1:23" ht="16.5">
      <c r="A140" s="59"/>
      <c r="B140" s="59"/>
      <c r="C140" s="59"/>
      <c r="D140" s="68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</row>
    <row r="141" spans="1:23" ht="16.5">
      <c r="A141" s="59"/>
      <c r="B141" s="59"/>
      <c r="C141" s="59"/>
      <c r="D141" s="68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</row>
    <row r="142" spans="1:23" ht="16.5">
      <c r="A142" s="59"/>
      <c r="B142" s="59"/>
      <c r="C142" s="59"/>
      <c r="D142" s="68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</row>
    <row r="143" spans="1:23" ht="16.5">
      <c r="A143" s="59"/>
      <c r="B143" s="59"/>
      <c r="C143" s="59"/>
      <c r="D143" s="68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</row>
    <row r="144" spans="1:23" ht="16.5">
      <c r="A144" s="59"/>
      <c r="B144" s="59"/>
      <c r="C144" s="59"/>
      <c r="D144" s="68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</row>
    <row r="145" spans="1:23" ht="16.5">
      <c r="A145" s="59"/>
      <c r="B145" s="59"/>
      <c r="C145" s="59"/>
      <c r="D145" s="68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</row>
    <row r="146" spans="1:23" ht="16.5">
      <c r="A146" s="59"/>
      <c r="B146" s="59"/>
      <c r="C146" s="59"/>
      <c r="D146" s="68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</row>
    <row r="147" spans="1:23" ht="16.5">
      <c r="A147" s="59"/>
      <c r="B147" s="59"/>
      <c r="C147" s="59"/>
      <c r="D147" s="68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</row>
    <row r="148" spans="1:23" ht="16.5">
      <c r="A148" s="59"/>
      <c r="B148" s="59"/>
      <c r="C148" s="59"/>
      <c r="D148" s="68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</row>
    <row r="149" spans="1:23" ht="16.5">
      <c r="A149" s="59"/>
      <c r="B149" s="59"/>
      <c r="C149" s="59"/>
      <c r="D149" s="68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</row>
    <row r="150" spans="1:23" ht="16.5">
      <c r="A150" s="59"/>
      <c r="B150" s="59"/>
      <c r="C150" s="59"/>
      <c r="D150" s="68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</row>
    <row r="151" spans="1:23" ht="16.5">
      <c r="A151" s="59"/>
      <c r="B151" s="59"/>
      <c r="C151" s="59"/>
      <c r="D151" s="68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</row>
    <row r="152" spans="1:23" ht="16.5">
      <c r="A152" s="59"/>
      <c r="B152" s="59"/>
      <c r="C152" s="59"/>
      <c r="D152" s="68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</row>
    <row r="153" spans="1:23" ht="16.5">
      <c r="A153" s="59"/>
      <c r="B153" s="59"/>
      <c r="C153" s="59"/>
      <c r="D153" s="68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</row>
    <row r="154" spans="1:23" ht="16.5">
      <c r="A154" s="59"/>
      <c r="B154" s="59"/>
      <c r="C154" s="59"/>
      <c r="D154" s="68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</row>
    <row r="155" spans="1:23" ht="16.5">
      <c r="A155" s="59"/>
      <c r="B155" s="59"/>
      <c r="C155" s="59"/>
      <c r="D155" s="68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</row>
    <row r="156" spans="1:23" ht="16.5">
      <c r="A156" s="59"/>
      <c r="B156" s="59"/>
      <c r="C156" s="59"/>
      <c r="D156" s="68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</row>
    <row r="157" spans="1:23" ht="16.5">
      <c r="A157" s="59"/>
      <c r="B157" s="59"/>
      <c r="C157" s="59"/>
      <c r="D157" s="68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</row>
    <row r="158" spans="1:23" ht="16.5">
      <c r="A158" s="59"/>
      <c r="B158" s="59"/>
      <c r="C158" s="59"/>
      <c r="D158" s="68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</row>
    <row r="159" spans="1:23" ht="16.5">
      <c r="A159" s="59"/>
      <c r="B159" s="59"/>
      <c r="C159" s="59"/>
      <c r="D159" s="68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</row>
    <row r="160" spans="1:23" ht="16.5">
      <c r="A160" s="59"/>
      <c r="B160" s="59"/>
      <c r="C160" s="59"/>
      <c r="D160" s="68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</row>
    <row r="161" spans="1:23" ht="16.5">
      <c r="A161" s="59"/>
      <c r="B161" s="59"/>
      <c r="C161" s="59"/>
      <c r="D161" s="68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</row>
    <row r="162" spans="1:23" ht="16.5">
      <c r="A162" s="59"/>
      <c r="B162" s="59"/>
      <c r="C162" s="59"/>
      <c r="D162" s="68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</row>
    <row r="163" spans="1:23" ht="16.5">
      <c r="A163" s="59"/>
      <c r="B163" s="59"/>
      <c r="C163" s="59"/>
      <c r="D163" s="68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</row>
    <row r="164" spans="1:23" ht="16.5">
      <c r="A164" s="59"/>
      <c r="B164" s="59"/>
      <c r="C164" s="59"/>
      <c r="D164" s="68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</row>
    <row r="165" spans="1:23" ht="16.5">
      <c r="A165" s="59"/>
      <c r="B165" s="59"/>
      <c r="C165" s="59"/>
      <c r="D165" s="68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</row>
    <row r="166" spans="1:23" ht="16.5">
      <c r="A166" s="59"/>
      <c r="B166" s="59"/>
      <c r="C166" s="59"/>
      <c r="D166" s="68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</row>
    <row r="167" spans="1:23" ht="16.5">
      <c r="A167" s="59"/>
      <c r="B167" s="59"/>
      <c r="C167" s="59"/>
      <c r="D167" s="68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</row>
    <row r="168" spans="1:23" ht="16.5">
      <c r="A168" s="59"/>
      <c r="B168" s="59"/>
      <c r="C168" s="59"/>
      <c r="D168" s="68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</row>
    <row r="169" spans="1:23" ht="16.5">
      <c r="A169" s="59"/>
      <c r="B169" s="59"/>
      <c r="C169" s="59"/>
      <c r="D169" s="68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</row>
    <row r="170" spans="1:23" ht="16.5">
      <c r="A170" s="59"/>
      <c r="B170" s="59"/>
      <c r="C170" s="59"/>
      <c r="D170" s="68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</row>
    <row r="171" spans="1:23" ht="16.5">
      <c r="A171" s="59"/>
      <c r="B171" s="59"/>
      <c r="C171" s="59"/>
      <c r="D171" s="68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</row>
    <row r="172" spans="1:23" ht="16.5">
      <c r="A172" s="59"/>
      <c r="B172" s="59"/>
      <c r="C172" s="59"/>
      <c r="D172" s="68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</row>
    <row r="173" spans="1:23" ht="16.5">
      <c r="A173" s="59"/>
      <c r="B173" s="59"/>
      <c r="C173" s="59"/>
      <c r="D173" s="68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</row>
    <row r="174" spans="1:23" ht="16.5">
      <c r="A174" s="59"/>
      <c r="B174" s="59"/>
      <c r="C174" s="59"/>
      <c r="D174" s="68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</row>
    <row r="175" spans="1:23" ht="16.5">
      <c r="A175" s="59"/>
      <c r="B175" s="59"/>
      <c r="C175" s="59"/>
      <c r="D175" s="68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</row>
    <row r="176" spans="1:23" ht="16.5">
      <c r="A176" s="59"/>
      <c r="B176" s="59"/>
      <c r="C176" s="59"/>
      <c r="D176" s="68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</row>
    <row r="177" spans="1:23" ht="16.5">
      <c r="A177" s="59"/>
      <c r="B177" s="59"/>
      <c r="C177" s="59"/>
      <c r="D177" s="68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</row>
    <row r="178" spans="1:23" ht="16.5">
      <c r="A178" s="59"/>
      <c r="B178" s="59"/>
      <c r="C178" s="59"/>
      <c r="D178" s="68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</row>
    <row r="179" spans="1:23" ht="16.5">
      <c r="A179" s="59"/>
      <c r="B179" s="59"/>
      <c r="C179" s="59"/>
      <c r="D179" s="68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</row>
    <row r="180" spans="1:23" ht="16.5">
      <c r="A180" s="59"/>
      <c r="B180" s="59"/>
      <c r="C180" s="59"/>
      <c r="D180" s="68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</row>
    <row r="181" spans="1:23" ht="16.5">
      <c r="A181" s="59"/>
      <c r="B181" s="59"/>
      <c r="C181" s="59"/>
      <c r="D181" s="68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</row>
    <row r="182" spans="1:23" ht="16.5">
      <c r="A182" s="59"/>
      <c r="B182" s="59"/>
      <c r="C182" s="59"/>
      <c r="D182" s="68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</row>
    <row r="183" spans="1:23" ht="16.5">
      <c r="A183" s="59"/>
      <c r="B183" s="59"/>
      <c r="C183" s="59"/>
      <c r="D183" s="68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</row>
    <row r="184" spans="1:23" ht="16.5">
      <c r="A184" s="59"/>
      <c r="B184" s="59"/>
      <c r="C184" s="59"/>
      <c r="D184" s="68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</row>
    <row r="185" spans="1:23" ht="16.5">
      <c r="A185" s="59"/>
      <c r="B185" s="59"/>
      <c r="C185" s="59"/>
      <c r="D185" s="68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</row>
    <row r="186" spans="1:23" ht="16.5">
      <c r="A186" s="59"/>
      <c r="B186" s="59"/>
      <c r="C186" s="59"/>
      <c r="D186" s="68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</row>
    <row r="187" spans="1:23" ht="16.5">
      <c r="A187" s="59"/>
      <c r="B187" s="59"/>
      <c r="C187" s="59"/>
      <c r="D187" s="68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</row>
    <row r="188" spans="1:23" ht="16.5">
      <c r="A188" s="59"/>
      <c r="B188" s="59"/>
      <c r="C188" s="59"/>
      <c r="D188" s="68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</row>
    <row r="189" spans="1:23" ht="16.5">
      <c r="A189" s="59"/>
      <c r="B189" s="59"/>
      <c r="C189" s="59"/>
      <c r="D189" s="68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</row>
    <row r="190" spans="1:23" ht="16.5">
      <c r="A190" s="59"/>
      <c r="B190" s="59"/>
      <c r="C190" s="59"/>
      <c r="D190" s="68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</row>
    <row r="191" spans="1:23" ht="16.5">
      <c r="A191" s="59"/>
      <c r="B191" s="59"/>
      <c r="C191" s="59"/>
      <c r="D191" s="68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</row>
    <row r="192" spans="1:23" ht="16.5">
      <c r="A192" s="59"/>
      <c r="B192" s="59"/>
      <c r="C192" s="59"/>
      <c r="D192" s="68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</row>
    <row r="193" spans="1:23" ht="16.5">
      <c r="A193" s="59"/>
      <c r="B193" s="59"/>
      <c r="C193" s="59"/>
      <c r="D193" s="68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</row>
    <row r="194" spans="1:23" ht="16.5">
      <c r="A194" s="59"/>
      <c r="B194" s="59"/>
      <c r="C194" s="59"/>
      <c r="D194" s="68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</row>
    <row r="195" spans="1:23" ht="16.5">
      <c r="A195" s="59"/>
      <c r="B195" s="59"/>
      <c r="C195" s="59"/>
      <c r="D195" s="68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</row>
    <row r="196" spans="1:23" ht="16.5">
      <c r="A196" s="59"/>
      <c r="B196" s="59"/>
      <c r="C196" s="59"/>
      <c r="D196" s="68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</row>
    <row r="197" spans="1:23" ht="16.5">
      <c r="A197" s="59"/>
      <c r="B197" s="59"/>
      <c r="C197" s="59"/>
      <c r="D197" s="68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</row>
    <row r="198" spans="1:23" ht="16.5">
      <c r="A198" s="59"/>
      <c r="B198" s="59"/>
      <c r="C198" s="59"/>
      <c r="D198" s="68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</row>
    <row r="199" spans="1:23" ht="16.5">
      <c r="A199" s="59"/>
      <c r="B199" s="59"/>
      <c r="C199" s="59"/>
      <c r="D199" s="68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</row>
    <row r="200" spans="1:23" ht="16.5">
      <c r="A200" s="59"/>
      <c r="B200" s="59"/>
      <c r="C200" s="59"/>
      <c r="D200" s="68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</row>
    <row r="201" spans="1:23" ht="16.5">
      <c r="A201" s="59"/>
      <c r="B201" s="59"/>
      <c r="C201" s="59"/>
      <c r="D201" s="68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</row>
    <row r="202" spans="1:23" ht="16.5">
      <c r="A202" s="59"/>
      <c r="B202" s="59"/>
      <c r="C202" s="59"/>
      <c r="D202" s="68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</row>
  </sheetData>
  <mergeCells count="1">
    <mergeCell ref="A1:F1"/>
  </mergeCells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201"/>
  <sheetViews>
    <sheetView showGridLines="0" zoomScaleNormal="100" zoomScaleSheetLayoutView="100" workbookViewId="0">
      <pane ySplit="1" topLeftCell="A2" activePane="bottomLeft" state="frozen"/>
      <selection pane="bottomLeft"/>
    </sheetView>
  </sheetViews>
  <sheetFormatPr defaultColWidth="8.75" defaultRowHeight="14.25"/>
  <cols>
    <col min="1" max="1" width="11.625" customWidth="1"/>
    <col min="2" max="2" width="9.125" customWidth="1"/>
    <col min="3" max="3" width="11.875" customWidth="1"/>
    <col min="4" max="5" width="11.625" customWidth="1"/>
    <col min="6" max="6" width="8.5" customWidth="1"/>
    <col min="7" max="7" width="17" customWidth="1"/>
    <col min="8" max="27" width="9.125" customWidth="1"/>
  </cols>
  <sheetData>
    <row r="1" spans="1:27" ht="18.75" customHeight="1">
      <c r="A1" s="69" t="s">
        <v>83</v>
      </c>
      <c r="B1" s="70" t="s">
        <v>2</v>
      </c>
      <c r="C1" s="70" t="s">
        <v>3</v>
      </c>
      <c r="D1" s="71" t="s">
        <v>84</v>
      </c>
      <c r="E1" s="70" t="s">
        <v>85</v>
      </c>
      <c r="F1" s="70" t="s">
        <v>6</v>
      </c>
      <c r="G1" s="72" t="s">
        <v>86</v>
      </c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</row>
    <row r="2" spans="1:27" ht="18.75" customHeight="1">
      <c r="A2" s="73">
        <v>43831</v>
      </c>
      <c r="B2" s="74" t="s">
        <v>7</v>
      </c>
      <c r="C2" s="74" t="s">
        <v>8</v>
      </c>
      <c r="D2" s="75"/>
      <c r="E2" s="74"/>
      <c r="F2" s="74"/>
      <c r="G2" s="74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</row>
    <row r="3" spans="1:27" ht="18.75" customHeight="1">
      <c r="A3" s="76">
        <v>43832</v>
      </c>
      <c r="B3" s="77" t="s">
        <v>7</v>
      </c>
      <c r="C3" s="77" t="s">
        <v>9</v>
      </c>
      <c r="D3" s="78"/>
      <c r="E3" s="77"/>
      <c r="F3" s="77"/>
      <c r="G3" s="77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</row>
    <row r="4" spans="1:27" ht="18.75" customHeight="1">
      <c r="A4" s="73">
        <v>43833</v>
      </c>
      <c r="B4" s="74" t="s">
        <v>10</v>
      </c>
      <c r="C4" s="74" t="s">
        <v>11</v>
      </c>
      <c r="D4" s="75"/>
      <c r="E4" s="74"/>
      <c r="F4" s="74"/>
      <c r="G4" s="74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 spans="1:27" ht="18.75" customHeight="1">
      <c r="A5" s="76">
        <v>43833</v>
      </c>
      <c r="B5" s="77" t="s">
        <v>7</v>
      </c>
      <c r="C5" s="77" t="s">
        <v>12</v>
      </c>
      <c r="D5" s="78"/>
      <c r="E5" s="77"/>
      <c r="F5" s="77"/>
      <c r="G5" s="77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spans="1:27" ht="18.75" customHeight="1">
      <c r="A6" s="73">
        <v>43835</v>
      </c>
      <c r="B6" s="74" t="s">
        <v>7</v>
      </c>
      <c r="C6" s="74" t="s">
        <v>13</v>
      </c>
      <c r="D6" s="75"/>
      <c r="E6" s="74"/>
      <c r="F6" s="74"/>
      <c r="G6" s="74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spans="1:27" ht="18.75" customHeight="1">
      <c r="A7" s="76">
        <v>43835</v>
      </c>
      <c r="B7" s="77" t="s">
        <v>10</v>
      </c>
      <c r="C7" s="77" t="s">
        <v>13</v>
      </c>
      <c r="D7" s="78"/>
      <c r="E7" s="77"/>
      <c r="F7" s="77"/>
      <c r="G7" s="77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spans="1:27" ht="18.75" customHeight="1">
      <c r="A8" s="73">
        <v>43835</v>
      </c>
      <c r="B8" s="74" t="s">
        <v>10</v>
      </c>
      <c r="C8" s="74" t="s">
        <v>36</v>
      </c>
      <c r="D8" s="75"/>
      <c r="E8" s="74"/>
      <c r="F8" s="74"/>
      <c r="G8" s="74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spans="1:27" ht="18.75" customHeight="1">
      <c r="A9" s="76">
        <v>43837</v>
      </c>
      <c r="B9" s="77" t="s">
        <v>10</v>
      </c>
      <c r="C9" s="77" t="s">
        <v>14</v>
      </c>
      <c r="D9" s="78"/>
      <c r="E9" s="77">
        <v>29433.3</v>
      </c>
      <c r="F9" s="77"/>
      <c r="G9" s="77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spans="1:27" ht="18.75" customHeight="1">
      <c r="A10" s="73">
        <v>43839</v>
      </c>
      <c r="B10" s="74" t="s">
        <v>10</v>
      </c>
      <c r="C10" s="74" t="s">
        <v>15</v>
      </c>
      <c r="D10" s="75"/>
      <c r="E10" s="74">
        <v>123.7</v>
      </c>
      <c r="F10" s="74"/>
      <c r="G10" s="74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spans="1:27" ht="18.75" customHeight="1">
      <c r="A11" s="76">
        <v>43839</v>
      </c>
      <c r="B11" s="77" t="s">
        <v>7</v>
      </c>
      <c r="C11" s="77" t="s">
        <v>15</v>
      </c>
      <c r="D11" s="78"/>
      <c r="E11" s="77">
        <v>718.9</v>
      </c>
      <c r="F11" s="77"/>
      <c r="G11" s="77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spans="1:27" ht="18.75" customHeight="1">
      <c r="A12" s="73">
        <v>43839</v>
      </c>
      <c r="B12" s="74" t="s">
        <v>10</v>
      </c>
      <c r="C12" s="74" t="s">
        <v>8</v>
      </c>
      <c r="D12" s="75"/>
      <c r="E12" s="74">
        <v>1017</v>
      </c>
      <c r="F12" s="74"/>
      <c r="G12" s="74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spans="1:27" ht="18.75" customHeight="1">
      <c r="A13" s="76">
        <v>43842</v>
      </c>
      <c r="B13" s="77" t="s">
        <v>38</v>
      </c>
      <c r="C13" s="77"/>
      <c r="D13" s="78"/>
      <c r="E13" s="77"/>
      <c r="F13" s="77"/>
      <c r="G13" s="77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spans="1:27" ht="18.75" customHeight="1">
      <c r="A14" s="73">
        <v>43846</v>
      </c>
      <c r="B14" s="74" t="s">
        <v>10</v>
      </c>
      <c r="C14" s="74" t="s">
        <v>41</v>
      </c>
      <c r="D14" s="75"/>
      <c r="E14" s="74">
        <v>38433.300000000003</v>
      </c>
      <c r="F14" s="74"/>
      <c r="G14" s="74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spans="1:27" ht="18.75" customHeight="1">
      <c r="A15" s="76">
        <v>43851</v>
      </c>
      <c r="B15" s="77" t="s">
        <v>7</v>
      </c>
      <c r="C15" s="77" t="s">
        <v>11</v>
      </c>
      <c r="D15" s="78"/>
      <c r="E15" s="77">
        <v>4439.18</v>
      </c>
      <c r="F15" s="77"/>
      <c r="G15" s="77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spans="1:27" ht="18.75" customHeight="1">
      <c r="A16" s="73">
        <v>43851</v>
      </c>
      <c r="B16" s="74" t="s">
        <v>10</v>
      </c>
      <c r="C16" s="74" t="s">
        <v>19</v>
      </c>
      <c r="D16" s="75"/>
      <c r="E16" s="74">
        <v>10</v>
      </c>
      <c r="F16" s="74"/>
      <c r="G16" s="74" t="s">
        <v>87</v>
      </c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spans="1:27" ht="18.75" customHeight="1">
      <c r="A17" s="76">
        <v>43852</v>
      </c>
      <c r="B17" s="77" t="s">
        <v>7</v>
      </c>
      <c r="C17" s="77" t="s">
        <v>20</v>
      </c>
      <c r="D17" s="78"/>
      <c r="E17" s="77">
        <v>840.3</v>
      </c>
      <c r="F17" s="77"/>
      <c r="G17" s="77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spans="1:27" ht="18.75" customHeight="1">
      <c r="A18" s="73">
        <v>43853</v>
      </c>
      <c r="B18" s="74" t="s">
        <v>10</v>
      </c>
      <c r="C18" s="74" t="s">
        <v>88</v>
      </c>
      <c r="D18" s="75"/>
      <c r="E18" s="74">
        <v>6150.29</v>
      </c>
      <c r="F18" s="74"/>
      <c r="G18" s="74" t="s">
        <v>89</v>
      </c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spans="1:27" ht="18.75" customHeight="1">
      <c r="A19" s="76">
        <v>43853</v>
      </c>
      <c r="B19" s="77" t="s">
        <v>7</v>
      </c>
      <c r="C19" s="77" t="s">
        <v>14</v>
      </c>
      <c r="D19" s="78"/>
      <c r="E19" s="77">
        <v>16226.5</v>
      </c>
      <c r="F19" s="77"/>
      <c r="G19" s="77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spans="1:27" ht="18.75" customHeight="1">
      <c r="A20" s="73">
        <v>43857</v>
      </c>
      <c r="B20" s="74" t="s">
        <v>10</v>
      </c>
      <c r="C20" s="74" t="s">
        <v>9</v>
      </c>
      <c r="D20" s="75"/>
      <c r="E20" s="74">
        <v>3372</v>
      </c>
      <c r="F20" s="74"/>
      <c r="G20" s="74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1:27" ht="18.75" customHeight="1">
      <c r="A21" s="76">
        <v>43857</v>
      </c>
      <c r="B21" s="77" t="s">
        <v>10</v>
      </c>
      <c r="C21" s="77" t="s">
        <v>23</v>
      </c>
      <c r="D21" s="78"/>
      <c r="E21" s="77">
        <v>1352</v>
      </c>
      <c r="F21" s="77"/>
      <c r="G21" s="77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spans="1:27" ht="18.75" customHeight="1">
      <c r="A22" s="73">
        <v>43858</v>
      </c>
      <c r="B22" s="74" t="s">
        <v>10</v>
      </c>
      <c r="C22" s="74" t="s">
        <v>47</v>
      </c>
      <c r="D22" s="75"/>
      <c r="E22" s="74">
        <v>500</v>
      </c>
      <c r="F22" s="74"/>
      <c r="G22" s="74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spans="1:27" ht="18.75" customHeight="1">
      <c r="A23" s="76">
        <v>43859</v>
      </c>
      <c r="B23" s="77"/>
      <c r="C23" s="77" t="s">
        <v>90</v>
      </c>
      <c r="D23" s="78"/>
      <c r="E23" s="77">
        <v>17.3</v>
      </c>
      <c r="F23" s="77"/>
      <c r="G23" s="77" t="s">
        <v>91</v>
      </c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spans="1:27" ht="18.75" customHeight="1">
      <c r="A24" s="73">
        <v>43859</v>
      </c>
      <c r="B24" s="74"/>
      <c r="C24" s="74" t="s">
        <v>24</v>
      </c>
      <c r="D24" s="75"/>
      <c r="E24" s="74">
        <v>0</v>
      </c>
      <c r="F24" s="74"/>
      <c r="G24" s="74" t="s">
        <v>92</v>
      </c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spans="1:27" ht="18.75" customHeight="1">
      <c r="A25" s="76">
        <v>43860</v>
      </c>
      <c r="B25" s="77" t="s">
        <v>10</v>
      </c>
      <c r="C25" s="77" t="s">
        <v>20</v>
      </c>
      <c r="D25" s="78"/>
      <c r="E25" s="77">
        <v>1909</v>
      </c>
      <c r="F25" s="77"/>
      <c r="G25" s="77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spans="1:27" ht="18.75" customHeight="1">
      <c r="A26" s="73">
        <v>43861</v>
      </c>
      <c r="B26" s="74"/>
      <c r="C26" s="74" t="s">
        <v>93</v>
      </c>
      <c r="D26" s="75"/>
      <c r="E26" s="74">
        <v>150.5</v>
      </c>
      <c r="F26" s="74"/>
      <c r="G26" s="74" t="s">
        <v>94</v>
      </c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spans="1:27" ht="18.75" customHeight="1">
      <c r="A27" s="76">
        <v>43861</v>
      </c>
      <c r="B27" s="77"/>
      <c r="C27" s="77" t="s">
        <v>95</v>
      </c>
      <c r="D27" s="78"/>
      <c r="E27" s="77">
        <v>62.9</v>
      </c>
      <c r="F27" s="77"/>
      <c r="G27" s="77" t="s">
        <v>96</v>
      </c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spans="1:27" ht="18.75" customHeight="1">
      <c r="A28" s="73">
        <v>43861</v>
      </c>
      <c r="B28" s="74"/>
      <c r="C28" s="74" t="s">
        <v>97</v>
      </c>
      <c r="D28" s="75"/>
      <c r="E28" s="74">
        <v>68.8</v>
      </c>
      <c r="F28" s="74"/>
      <c r="G28" s="74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spans="1:27" ht="18.75" customHeight="1">
      <c r="A29" s="79"/>
      <c r="B29" s="77"/>
      <c r="C29" s="77"/>
      <c r="D29" s="78">
        <f>SUBTOTAL(109,'202001'!$D$2:$D$28)</f>
        <v>0</v>
      </c>
      <c r="E29" s="77">
        <f>SUBTOTAL(109,E2:E28)</f>
        <v>104824.97</v>
      </c>
      <c r="F29" s="77"/>
      <c r="G29" s="77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spans="1:27" ht="18.75" customHeight="1">
      <c r="A30" s="80"/>
      <c r="B30" s="23"/>
      <c r="C30" s="23"/>
      <c r="D30" s="24"/>
      <c r="E30" s="25"/>
      <c r="F30" s="23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spans="1:27" ht="15.75">
      <c r="A31" s="81"/>
      <c r="B31" s="16"/>
      <c r="C31" s="16"/>
      <c r="D31" s="27"/>
      <c r="E31" s="28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spans="1:27" ht="15.75">
      <c r="A32" s="81"/>
      <c r="B32" s="16"/>
      <c r="C32" s="16"/>
      <c r="D32" s="27"/>
      <c r="E32" s="28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 ht="15.75">
      <c r="A33" s="81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 ht="15.75">
      <c r="A34" s="81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 ht="15.75">
      <c r="A35" s="81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 ht="15.75">
      <c r="A36" s="81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 ht="15.75">
      <c r="A37" s="81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 ht="15.75">
      <c r="A38" s="81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 ht="15.75">
      <c r="A39" s="81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 ht="15.75">
      <c r="A40" s="81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 ht="15.75">
      <c r="A41" s="81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 ht="15.75">
      <c r="A42" s="81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 ht="15.75">
      <c r="A43" s="81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 ht="15.75">
      <c r="A44" s="81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 ht="15.75">
      <c r="A45" s="81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 ht="15.75">
      <c r="A46" s="81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 ht="15.75">
      <c r="A47" s="81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 ht="15.75">
      <c r="A48" s="81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 ht="15.75">
      <c r="A49" s="81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 ht="15.75">
      <c r="A50" s="81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 ht="15.75">
      <c r="A51" s="81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 ht="15.75">
      <c r="A52" s="81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 ht="15.75">
      <c r="A53" s="81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 ht="15.75">
      <c r="A54" s="81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 ht="15.75">
      <c r="A55" s="81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 ht="15.75">
      <c r="A56" s="81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 ht="15.75">
      <c r="A57" s="81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 ht="15.75">
      <c r="A58" s="81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 ht="15.75">
      <c r="A59" s="81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 ht="15.75">
      <c r="A60" s="81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 ht="15.75">
      <c r="A61" s="81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 ht="15.75">
      <c r="A62" s="81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 ht="15.75">
      <c r="A63" s="81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 ht="15.75">
      <c r="A64" s="81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 ht="15.75">
      <c r="A65" s="81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 ht="15.75">
      <c r="A66" s="81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 ht="15.75">
      <c r="A67" s="81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 ht="15.75">
      <c r="A68" s="81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 ht="15.75">
      <c r="A69" s="81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 ht="15.75">
      <c r="A70" s="81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 ht="15.75">
      <c r="A71" s="81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 ht="15.75">
      <c r="A72" s="81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 ht="15.75">
      <c r="A73" s="81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 ht="15.75">
      <c r="A74" s="81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 ht="15.75">
      <c r="A75" s="81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 ht="15.75">
      <c r="A76" s="81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 ht="15.75">
      <c r="A77" s="81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 ht="15.75">
      <c r="A78" s="81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 ht="15.75">
      <c r="A79" s="81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 ht="15.75">
      <c r="A80" s="81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 ht="15.75">
      <c r="A81" s="81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 ht="15.75">
      <c r="A82" s="81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 ht="15.75">
      <c r="A83" s="81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 ht="15.75">
      <c r="A84" s="81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 ht="15.75">
      <c r="A85" s="81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 ht="15.75">
      <c r="A86" s="81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 ht="15.75">
      <c r="A87" s="81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 ht="15.75">
      <c r="A88" s="81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 ht="15.75">
      <c r="A89" s="81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 ht="15.75">
      <c r="A90" s="81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 ht="15.75">
      <c r="A91" s="81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 ht="15.75">
      <c r="A92" s="81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 ht="15.75">
      <c r="A93" s="81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 ht="15.75">
      <c r="A94" s="81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 ht="15.75">
      <c r="A95" s="81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 ht="15.75">
      <c r="A96" s="81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 ht="15.75">
      <c r="A97" s="81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 ht="15.75">
      <c r="A98" s="81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 ht="15.75">
      <c r="A99" s="81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 ht="15.75">
      <c r="A100" s="81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 ht="15.75">
      <c r="A101" s="81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 ht="15.75">
      <c r="A102" s="81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 ht="15.75">
      <c r="A103" s="81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 ht="15.75">
      <c r="A104" s="81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 ht="15.75">
      <c r="A105" s="81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 ht="15.75">
      <c r="A106" s="81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 ht="15.75">
      <c r="A107" s="81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 ht="15.75">
      <c r="A108" s="81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 ht="15.75">
      <c r="A109" s="81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 ht="15.75">
      <c r="A110" s="81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 ht="15.75">
      <c r="A111" s="81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 ht="15.75">
      <c r="A112" s="81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 ht="15.75">
      <c r="A113" s="81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 ht="15.75">
      <c r="A114" s="81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 ht="15.75">
      <c r="A115" s="81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 ht="15.75">
      <c r="A116" s="81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 ht="15.75">
      <c r="A117" s="81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 ht="15.75">
      <c r="A118" s="81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 ht="15.75">
      <c r="A119" s="81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 ht="15.75">
      <c r="A120" s="81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 ht="15.75">
      <c r="A121" s="81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 ht="15.75">
      <c r="A122" s="81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 ht="15.75">
      <c r="A123" s="81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 ht="15.75">
      <c r="A124" s="81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 ht="15.75">
      <c r="A125" s="81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 ht="15.75">
      <c r="A126" s="81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 ht="15.75">
      <c r="A127" s="81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 ht="15.75">
      <c r="A128" s="81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 ht="15.75">
      <c r="A129" s="81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 ht="15.75">
      <c r="A130" s="81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 ht="15.75">
      <c r="A131" s="81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 ht="15.75">
      <c r="A132" s="81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 ht="15.75">
      <c r="A133" s="81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 ht="15.75">
      <c r="A134" s="81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 ht="15.75">
      <c r="A135" s="81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 ht="15.75">
      <c r="A136" s="81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 ht="15.75">
      <c r="A137" s="81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 ht="15.75">
      <c r="A138" s="81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 ht="15.75">
      <c r="A139" s="81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 ht="15.75">
      <c r="A140" s="81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 ht="15.75">
      <c r="A141" s="81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 ht="15.75">
      <c r="A142" s="81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 ht="15.75">
      <c r="A143" s="81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 ht="15.75">
      <c r="A144" s="81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 ht="15.75">
      <c r="A145" s="81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 ht="15.75">
      <c r="A146" s="81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 ht="15.75">
      <c r="A147" s="81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 ht="15.75">
      <c r="A148" s="81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 ht="15.75">
      <c r="A149" s="81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 ht="15.75">
      <c r="A150" s="81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 ht="15.75">
      <c r="A151" s="81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 ht="15.75">
      <c r="A152" s="81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 ht="15.75">
      <c r="A153" s="81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 ht="15.75">
      <c r="A154" s="81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 ht="15.75">
      <c r="A155" s="81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 ht="15.75">
      <c r="A156" s="81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 ht="15.75">
      <c r="A157" s="81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 ht="15.75">
      <c r="A158" s="81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 ht="15.75">
      <c r="A159" s="81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 ht="15.75">
      <c r="A160" s="81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 ht="15.75">
      <c r="A161" s="81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 ht="15.75">
      <c r="A162" s="81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 ht="15.75">
      <c r="A163" s="81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 ht="15.75">
      <c r="A164" s="81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 ht="15.75">
      <c r="A165" s="81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 ht="15.75">
      <c r="A166" s="81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 ht="15.75">
      <c r="A167" s="81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 ht="15.75">
      <c r="A168" s="81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 ht="15.75">
      <c r="A169" s="81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 ht="15.75">
      <c r="A170" s="81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 ht="15.75">
      <c r="A171" s="81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 ht="15.75">
      <c r="A172" s="81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 ht="15.75">
      <c r="A173" s="81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 ht="15.75">
      <c r="A174" s="81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 ht="15.75">
      <c r="A175" s="81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 ht="15.75">
      <c r="A176" s="81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 ht="15.75">
      <c r="A177" s="81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 ht="15.75">
      <c r="A178" s="81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 ht="15.75">
      <c r="A179" s="81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 ht="15.75">
      <c r="A180" s="81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 ht="15.75">
      <c r="A181" s="81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 ht="15.75">
      <c r="A182" s="81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 ht="15.75">
      <c r="A183" s="81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 ht="15.75">
      <c r="A184" s="81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 ht="15.75">
      <c r="A185" s="81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 ht="15.75">
      <c r="A186" s="81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 ht="15.75">
      <c r="A187" s="81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 ht="15.75">
      <c r="A188" s="81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 ht="15.75">
      <c r="A189" s="81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 ht="15.75">
      <c r="A190" s="81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 ht="15.75">
      <c r="A191" s="81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 ht="15.75">
      <c r="A192" s="81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 ht="15.75">
      <c r="A193" s="81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 ht="15.75">
      <c r="A194" s="81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 ht="15.75">
      <c r="A195" s="81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 ht="15.75">
      <c r="A196" s="81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 ht="15.75">
      <c r="A197" s="81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 ht="15.75">
      <c r="A198" s="81"/>
      <c r="B198" s="16"/>
      <c r="C198" s="16"/>
      <c r="D198" s="27"/>
      <c r="E198" s="28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 ht="15.75">
      <c r="A199" s="81"/>
      <c r="B199" s="16"/>
      <c r="C199" s="16"/>
      <c r="D199" s="27"/>
      <c r="E199" s="28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 ht="15.75">
      <c r="A200" s="81"/>
      <c r="B200" s="16"/>
      <c r="C200" s="16"/>
      <c r="D200" s="27"/>
      <c r="E200" s="28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 ht="15.75">
      <c r="A201" s="81"/>
      <c r="B201" s="16"/>
      <c r="C201" s="16"/>
      <c r="D201" s="27"/>
      <c r="E201" s="28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</sheetData>
  <phoneticPr fontId="1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203"/>
  <sheetViews>
    <sheetView showGridLines="0" zoomScaleNormal="100" zoomScaleSheetLayoutView="100" workbookViewId="0">
      <pane ySplit="2" topLeftCell="A3" activePane="bottomLeft" state="frozen"/>
      <selection pane="bottomLeft" sqref="A1:G1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5" width="13.75" customWidth="1"/>
    <col min="6" max="6" width="6.125" customWidth="1"/>
    <col min="7" max="7" width="45.25" customWidth="1"/>
    <col min="8" max="27" width="9.125" customWidth="1"/>
  </cols>
  <sheetData>
    <row r="1" spans="1:27" ht="37.5" customHeight="1">
      <c r="A1" s="176" t="s">
        <v>98</v>
      </c>
      <c r="B1" s="172"/>
      <c r="C1" s="172"/>
      <c r="D1" s="172"/>
      <c r="E1" s="172"/>
      <c r="F1" s="172"/>
      <c r="G1" s="17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22.5" customHeight="1">
      <c r="A2" s="30" t="s">
        <v>83</v>
      </c>
      <c r="B2" s="31" t="s">
        <v>2</v>
      </c>
      <c r="C2" s="31" t="s">
        <v>3</v>
      </c>
      <c r="D2" s="32" t="s">
        <v>4</v>
      </c>
      <c r="E2" s="33" t="s">
        <v>29</v>
      </c>
      <c r="F2" s="31" t="s">
        <v>6</v>
      </c>
      <c r="G2" s="34" t="s">
        <v>30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8.75" customHeight="1">
      <c r="A3" s="35">
        <v>43862</v>
      </c>
      <c r="B3" s="36" t="s">
        <v>7</v>
      </c>
      <c r="C3" s="36" t="s">
        <v>8</v>
      </c>
      <c r="D3" s="37"/>
      <c r="E3" s="38" t="s">
        <v>99</v>
      </c>
      <c r="F3" s="36"/>
      <c r="G3" s="36" t="s">
        <v>100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spans="1:27" ht="18.75" customHeight="1">
      <c r="A4" s="39">
        <v>43862</v>
      </c>
      <c r="B4" s="8" t="s">
        <v>7</v>
      </c>
      <c r="C4" s="8" t="s">
        <v>9</v>
      </c>
      <c r="D4" s="9"/>
      <c r="E4" s="12">
        <v>727</v>
      </c>
      <c r="F4" s="8"/>
      <c r="G4" s="8" t="s">
        <v>101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ht="18.75" customHeight="1">
      <c r="A5" s="35">
        <v>43864</v>
      </c>
      <c r="B5" s="36" t="s">
        <v>10</v>
      </c>
      <c r="C5" s="36" t="s">
        <v>11</v>
      </c>
      <c r="D5" s="37"/>
      <c r="E5" s="38">
        <v>12850.05</v>
      </c>
      <c r="F5" s="36"/>
      <c r="G5" s="36" t="s">
        <v>102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ht="18.75" customHeight="1">
      <c r="A6" s="39">
        <v>43864</v>
      </c>
      <c r="B6" s="8" t="s">
        <v>7</v>
      </c>
      <c r="C6" s="8" t="s">
        <v>12</v>
      </c>
      <c r="D6" s="9"/>
      <c r="E6" s="12">
        <v>9075.84</v>
      </c>
      <c r="F6" s="8"/>
      <c r="G6" s="8" t="s">
        <v>102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ht="18.75" customHeight="1">
      <c r="A7" s="35">
        <v>43866</v>
      </c>
      <c r="B7" s="36" t="s">
        <v>7</v>
      </c>
      <c r="C7" s="36" t="s">
        <v>13</v>
      </c>
      <c r="D7" s="37"/>
      <c r="E7" s="38">
        <v>752</v>
      </c>
      <c r="F7" s="36"/>
      <c r="G7" s="36" t="s">
        <v>103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spans="1:27" ht="18.75" customHeight="1">
      <c r="A8" s="39">
        <v>43866</v>
      </c>
      <c r="B8" s="8" t="s">
        <v>10</v>
      </c>
      <c r="C8" s="8" t="s">
        <v>13</v>
      </c>
      <c r="D8" s="9"/>
      <c r="E8" s="12">
        <v>1078.3599999999999</v>
      </c>
      <c r="F8" s="8"/>
      <c r="G8" s="8" t="s">
        <v>104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 spans="1:27" ht="18.75" customHeight="1">
      <c r="A9" s="35">
        <v>43866</v>
      </c>
      <c r="B9" s="36" t="s">
        <v>10</v>
      </c>
      <c r="C9" s="36" t="s">
        <v>36</v>
      </c>
      <c r="D9" s="37"/>
      <c r="E9" s="38">
        <v>168</v>
      </c>
      <c r="F9" s="36"/>
      <c r="G9" s="36" t="s">
        <v>105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 spans="1:27" ht="18.75" customHeight="1">
      <c r="A10" s="39">
        <v>43868</v>
      </c>
      <c r="B10" s="8" t="s">
        <v>10</v>
      </c>
      <c r="C10" s="8" t="s">
        <v>14</v>
      </c>
      <c r="D10" s="9"/>
      <c r="E10" s="12">
        <v>17603.54</v>
      </c>
      <c r="F10" s="8"/>
      <c r="G10" s="8" t="s">
        <v>106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spans="1:27" ht="18.75" customHeight="1">
      <c r="A11" s="35">
        <v>43870</v>
      </c>
      <c r="B11" s="36" t="s">
        <v>38</v>
      </c>
      <c r="C11" s="36"/>
      <c r="D11" s="37"/>
      <c r="E11" s="38">
        <v>201</v>
      </c>
      <c r="F11" s="36"/>
      <c r="G11" s="36" t="s">
        <v>107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spans="1:27" ht="18.75" customHeight="1">
      <c r="A12" s="39">
        <v>43870</v>
      </c>
      <c r="B12" s="8" t="s">
        <v>10</v>
      </c>
      <c r="C12" s="8" t="s">
        <v>15</v>
      </c>
      <c r="D12" s="9"/>
      <c r="E12" s="12">
        <v>100.99</v>
      </c>
      <c r="F12" s="8"/>
      <c r="G12" s="8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spans="1:27" ht="18.75" customHeight="1">
      <c r="A13" s="35">
        <v>43870</v>
      </c>
      <c r="B13" s="36" t="s">
        <v>7</v>
      </c>
      <c r="C13" s="36" t="s">
        <v>15</v>
      </c>
      <c r="D13" s="37"/>
      <c r="E13" s="38">
        <v>210.62</v>
      </c>
      <c r="F13" s="36"/>
      <c r="G13" s="36" t="s">
        <v>108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spans="1:27" ht="18.75" customHeight="1">
      <c r="A14" s="39">
        <v>43870</v>
      </c>
      <c r="B14" s="8" t="s">
        <v>10</v>
      </c>
      <c r="C14" s="8" t="s">
        <v>8</v>
      </c>
      <c r="D14" s="9"/>
      <c r="E14" s="12">
        <v>8118</v>
      </c>
      <c r="F14" s="8"/>
      <c r="G14" s="8" t="s">
        <v>109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 spans="1:27" ht="18.75" customHeight="1">
      <c r="A15" s="35">
        <v>43877</v>
      </c>
      <c r="B15" s="36" t="s">
        <v>10</v>
      </c>
      <c r="C15" s="36" t="s">
        <v>41</v>
      </c>
      <c r="D15" s="37"/>
      <c r="E15" s="38">
        <v>60996.53</v>
      </c>
      <c r="F15" s="36"/>
      <c r="G15" s="36" t="s">
        <v>110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 spans="1:27" ht="18.75" customHeight="1">
      <c r="A16" s="39">
        <v>43882</v>
      </c>
      <c r="B16" s="8" t="s">
        <v>7</v>
      </c>
      <c r="C16" s="8" t="s">
        <v>11</v>
      </c>
      <c r="D16" s="9"/>
      <c r="E16" s="12">
        <v>6205.46</v>
      </c>
      <c r="F16" s="8"/>
      <c r="G16" s="8" t="s">
        <v>111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spans="1:27" ht="18.75" customHeight="1">
      <c r="A17" s="35">
        <v>43882</v>
      </c>
      <c r="B17" s="36" t="s">
        <v>10</v>
      </c>
      <c r="C17" s="36" t="s">
        <v>19</v>
      </c>
      <c r="D17" s="37"/>
      <c r="E17" s="38">
        <v>9561</v>
      </c>
      <c r="F17" s="36"/>
      <c r="G17" s="36" t="s">
        <v>111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spans="1:27" ht="18.75" customHeight="1">
      <c r="A18" s="39">
        <v>43883</v>
      </c>
      <c r="B18" s="8" t="s">
        <v>7</v>
      </c>
      <c r="C18" s="8" t="s">
        <v>20</v>
      </c>
      <c r="D18" s="9"/>
      <c r="E18" s="12">
        <v>9419</v>
      </c>
      <c r="F18" s="8"/>
      <c r="G18" s="8" t="s">
        <v>112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spans="1:27" ht="18.75" customHeight="1">
      <c r="A19" s="35">
        <v>43884</v>
      </c>
      <c r="B19" s="36" t="s">
        <v>10</v>
      </c>
      <c r="C19" s="36" t="s">
        <v>88</v>
      </c>
      <c r="D19" s="37"/>
      <c r="E19" s="38">
        <v>11515.89</v>
      </c>
      <c r="F19" s="36"/>
      <c r="G19" s="36" t="s">
        <v>112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spans="1:27" ht="18.75" customHeight="1">
      <c r="A20" s="39">
        <v>43884</v>
      </c>
      <c r="B20" s="8" t="s">
        <v>7</v>
      </c>
      <c r="C20" s="8" t="s">
        <v>14</v>
      </c>
      <c r="D20" s="9"/>
      <c r="E20" s="12">
        <v>17524.150000000001</v>
      </c>
      <c r="F20" s="8"/>
      <c r="G20" s="8" t="s">
        <v>112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spans="1:27" ht="18.75" customHeight="1">
      <c r="A21" s="35">
        <v>43888</v>
      </c>
      <c r="B21" s="36" t="s">
        <v>10</v>
      </c>
      <c r="C21" s="36" t="s">
        <v>9</v>
      </c>
      <c r="D21" s="37"/>
      <c r="E21" s="38">
        <v>9622</v>
      </c>
      <c r="F21" s="36"/>
      <c r="G21" s="36" t="s">
        <v>113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spans="1:27" ht="18.75" customHeight="1">
      <c r="A22" s="39">
        <v>43888</v>
      </c>
      <c r="B22" s="8" t="s">
        <v>10</v>
      </c>
      <c r="C22" s="8" t="s">
        <v>23</v>
      </c>
      <c r="D22" s="9"/>
      <c r="E22" s="12">
        <v>2452</v>
      </c>
      <c r="F22" s="8"/>
      <c r="G22" s="8" t="s">
        <v>113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spans="1:27" ht="18.75" customHeight="1">
      <c r="A23" s="35">
        <v>43889</v>
      </c>
      <c r="B23" s="36" t="s">
        <v>10</v>
      </c>
      <c r="C23" s="36" t="s">
        <v>47</v>
      </c>
      <c r="D23" s="37"/>
      <c r="E23" s="38"/>
      <c r="F23" s="36"/>
      <c r="G23" s="36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spans="1:27" ht="18.75" customHeight="1">
      <c r="A24" s="35">
        <v>43890</v>
      </c>
      <c r="B24" s="36"/>
      <c r="C24" s="36" t="s">
        <v>24</v>
      </c>
      <c r="D24" s="37"/>
      <c r="E24" s="38"/>
      <c r="F24" s="36"/>
      <c r="G24" s="36" t="s">
        <v>114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spans="1:27" ht="18.75" customHeight="1">
      <c r="A25" s="41">
        <v>43890</v>
      </c>
      <c r="B25" s="36"/>
      <c r="C25" s="36" t="s">
        <v>115</v>
      </c>
      <c r="D25" s="37"/>
      <c r="E25" s="38"/>
      <c r="F25" s="36"/>
      <c r="G25" s="36" t="s">
        <v>116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spans="1:27" ht="18.75" customHeight="1">
      <c r="A26" s="41">
        <v>43890</v>
      </c>
      <c r="B26" s="36"/>
      <c r="C26" s="36" t="s">
        <v>117</v>
      </c>
      <c r="D26" s="37"/>
      <c r="E26" s="38">
        <v>71.5</v>
      </c>
      <c r="F26" s="36"/>
      <c r="G26" s="36" t="s">
        <v>118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spans="1:27" ht="18.75" customHeight="1">
      <c r="A27" s="35">
        <v>43892</v>
      </c>
      <c r="B27" s="36"/>
      <c r="C27" s="36" t="s">
        <v>95</v>
      </c>
      <c r="D27" s="37"/>
      <c r="E27" s="38">
        <v>59</v>
      </c>
      <c r="F27" s="36"/>
      <c r="G27" s="36" t="s">
        <v>119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spans="1:27" ht="18.75" customHeight="1">
      <c r="A28" s="35">
        <v>43892</v>
      </c>
      <c r="B28" s="36"/>
      <c r="C28" s="36" t="s">
        <v>120</v>
      </c>
      <c r="D28" s="37"/>
      <c r="E28" s="38">
        <v>109.8</v>
      </c>
      <c r="F28" s="36"/>
      <c r="G28" s="36" t="s">
        <v>121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spans="1:27" ht="22.5" customHeight="1">
      <c r="A29" s="39"/>
      <c r="B29" s="8"/>
      <c r="C29" s="8"/>
      <c r="D29" s="82">
        <f>SUBTOTAL(109,'202002'!$D$3:$D$27)</f>
        <v>0</v>
      </c>
      <c r="E29" s="83">
        <f>SUBTOTAL(109,E3:E27)</f>
        <v>178311.93000000002</v>
      </c>
      <c r="F29" s="8"/>
      <c r="G29" s="8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1:27" ht="22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1:27" ht="22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1:27" ht="18.75" customHeight="1">
      <c r="A32" s="22"/>
      <c r="B32" s="23"/>
      <c r="C32" s="23"/>
      <c r="D32" s="24"/>
      <c r="E32" s="25"/>
      <c r="F32" s="23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 ht="15.75">
      <c r="A33" s="26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 ht="15.75">
      <c r="A34" s="26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 ht="15.75">
      <c r="A35" s="26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 ht="15.75">
      <c r="A36" s="26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 ht="15.75">
      <c r="A37" s="26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 ht="15.75">
      <c r="A38" s="26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 ht="15.75">
      <c r="A39" s="26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 ht="15.75">
      <c r="A40" s="26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 ht="15.75">
      <c r="A41" s="26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 ht="15.75">
      <c r="A42" s="26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 ht="15.75">
      <c r="A43" s="26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 ht="15.75">
      <c r="A44" s="26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 ht="15.75">
      <c r="A45" s="26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 ht="15.75">
      <c r="A46" s="26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 ht="15.75">
      <c r="A47" s="26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 ht="15.75">
      <c r="A48" s="26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 ht="15.75">
      <c r="A49" s="26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 ht="15.75">
      <c r="A50" s="26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 ht="15.75">
      <c r="A51" s="26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 ht="15.75">
      <c r="A52" s="26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 ht="15.75">
      <c r="A53" s="26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 ht="15.75">
      <c r="A54" s="26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 ht="15.75">
      <c r="A55" s="26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 ht="15.75">
      <c r="A56" s="26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 ht="15.75">
      <c r="A57" s="26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 ht="15.75">
      <c r="A58" s="26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 ht="15.75">
      <c r="A59" s="26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 ht="15.75">
      <c r="A60" s="26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 ht="15.75">
      <c r="A61" s="26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 ht="15.75">
      <c r="A62" s="26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 ht="15.75">
      <c r="A63" s="26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 ht="15.75">
      <c r="A64" s="26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 ht="15.75">
      <c r="A65" s="26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 ht="15.75">
      <c r="A66" s="26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 ht="15.75">
      <c r="A67" s="26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 ht="15.75">
      <c r="A68" s="26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 ht="15.75">
      <c r="A69" s="26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 ht="15.75">
      <c r="A70" s="26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 ht="15.75">
      <c r="A71" s="26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 ht="15.75">
      <c r="A72" s="26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 ht="15.75">
      <c r="A73" s="26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 ht="15.75">
      <c r="A74" s="26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 ht="15.75">
      <c r="A75" s="26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 ht="15.75">
      <c r="A76" s="26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 ht="15.75">
      <c r="A77" s="26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 ht="15.75">
      <c r="A78" s="26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 ht="15.75">
      <c r="A79" s="26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 ht="15.75">
      <c r="A80" s="26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 ht="15.75">
      <c r="A81" s="26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 ht="15.75">
      <c r="A82" s="26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 ht="15.75">
      <c r="A83" s="26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 ht="15.75">
      <c r="A84" s="26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 ht="15.75">
      <c r="A85" s="26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 ht="15.75">
      <c r="A86" s="26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 ht="15.75">
      <c r="A87" s="26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 ht="15.75">
      <c r="A88" s="26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 ht="15.75">
      <c r="A89" s="26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 ht="15.75">
      <c r="A90" s="26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 ht="15.75">
      <c r="A91" s="26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 ht="15.75">
      <c r="A92" s="26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 ht="15.75">
      <c r="A93" s="26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 ht="15.75">
      <c r="A94" s="26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 ht="15.75">
      <c r="A95" s="26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 ht="15.75">
      <c r="A96" s="26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 ht="15.75">
      <c r="A97" s="26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 ht="15.75">
      <c r="A98" s="26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 ht="15.75">
      <c r="A99" s="26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 ht="15.75">
      <c r="A100" s="26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 ht="15.75">
      <c r="A101" s="26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 ht="15.75">
      <c r="A102" s="26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 ht="15.75">
      <c r="A103" s="26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 ht="15.75">
      <c r="A104" s="26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 ht="15.75">
      <c r="A105" s="26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 ht="15.75">
      <c r="A106" s="26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 ht="15.75">
      <c r="A107" s="26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 ht="15.75">
      <c r="A108" s="26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 ht="15.75">
      <c r="A109" s="26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 ht="15.75">
      <c r="A110" s="26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 ht="15.75">
      <c r="A111" s="26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 ht="15.75">
      <c r="A112" s="26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 ht="15.75">
      <c r="A113" s="26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 ht="15.75">
      <c r="A114" s="26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 ht="15.75">
      <c r="A115" s="26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 ht="15.75">
      <c r="A116" s="26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 ht="15.75">
      <c r="A117" s="26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 ht="15.75">
      <c r="A118" s="26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 ht="15.75">
      <c r="A119" s="26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 ht="15.75">
      <c r="A120" s="26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 ht="15.75">
      <c r="A121" s="26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 ht="15.75">
      <c r="A122" s="26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 ht="15.75">
      <c r="A123" s="26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 ht="15.75">
      <c r="A124" s="26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 ht="15.75">
      <c r="A125" s="26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 ht="15.75">
      <c r="A126" s="26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 ht="15.75">
      <c r="A127" s="26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 ht="15.75">
      <c r="A128" s="26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 ht="15.75">
      <c r="A129" s="26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 ht="15.75">
      <c r="A130" s="26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 ht="15.75">
      <c r="A131" s="26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 ht="15.75">
      <c r="A132" s="26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 ht="15.75">
      <c r="A133" s="26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 ht="15.75">
      <c r="A134" s="26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 ht="15.75">
      <c r="A135" s="26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 ht="15.75">
      <c r="A136" s="26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 ht="15.75">
      <c r="A137" s="26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 ht="15.75">
      <c r="A138" s="26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 ht="15.75">
      <c r="A139" s="26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 ht="15.75">
      <c r="A140" s="26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 ht="15.75">
      <c r="A141" s="26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 ht="15.75">
      <c r="A142" s="26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 ht="15.75">
      <c r="A143" s="26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 ht="15.75">
      <c r="A144" s="26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 ht="15.75">
      <c r="A145" s="26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 ht="15.75">
      <c r="A146" s="26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 ht="15.75">
      <c r="A147" s="26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 ht="15.75">
      <c r="A148" s="26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 ht="15.75">
      <c r="A149" s="26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 ht="15.75">
      <c r="A150" s="26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 ht="15.75">
      <c r="A151" s="26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 ht="15.75">
      <c r="A152" s="26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 ht="15.75">
      <c r="A153" s="26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 ht="15.75">
      <c r="A154" s="26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 ht="15.75">
      <c r="A155" s="26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 ht="15.75">
      <c r="A156" s="26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 ht="15.75">
      <c r="A157" s="26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 ht="15.75">
      <c r="A158" s="26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 ht="15.75">
      <c r="A159" s="26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 ht="15.75">
      <c r="A160" s="26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 ht="15.75">
      <c r="A161" s="26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 ht="15.75">
      <c r="A162" s="26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 ht="15.75">
      <c r="A163" s="26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 ht="15.75">
      <c r="A164" s="26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 ht="15.75">
      <c r="A165" s="26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 ht="15.75">
      <c r="A166" s="26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 ht="15.75">
      <c r="A167" s="26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 ht="15.75">
      <c r="A168" s="26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 ht="15.75">
      <c r="A169" s="26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 ht="15.75">
      <c r="A170" s="26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 ht="15.75">
      <c r="A171" s="26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 ht="15.75">
      <c r="A172" s="26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 ht="15.75">
      <c r="A173" s="26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 ht="15.75">
      <c r="A174" s="26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 ht="15.75">
      <c r="A175" s="26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 ht="15.75">
      <c r="A176" s="26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 ht="15.75">
      <c r="A177" s="26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 ht="15.75">
      <c r="A178" s="26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 ht="15.75">
      <c r="A179" s="26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 ht="15.75">
      <c r="A180" s="26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 ht="15.75">
      <c r="A181" s="26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 ht="15.75">
      <c r="A182" s="26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 ht="15.75">
      <c r="A183" s="26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 ht="15.75">
      <c r="A184" s="26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 ht="15.75">
      <c r="A185" s="26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 ht="15.75">
      <c r="A186" s="26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 ht="15.75">
      <c r="A187" s="26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 ht="15.75">
      <c r="A188" s="26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 ht="15.75">
      <c r="A189" s="26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 ht="15.75">
      <c r="A190" s="26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 ht="15.75">
      <c r="A191" s="26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 ht="15.75">
      <c r="A192" s="26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 ht="15.75">
      <c r="A193" s="26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 ht="15.75">
      <c r="A194" s="26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 ht="15.75">
      <c r="A195" s="26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 ht="15.75">
      <c r="A196" s="26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 ht="15.75">
      <c r="A197" s="26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 ht="15.75">
      <c r="A198" s="26"/>
      <c r="B198" s="16"/>
      <c r="C198" s="16"/>
      <c r="D198" s="27"/>
      <c r="E198" s="28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 ht="15.75">
      <c r="A199" s="26"/>
      <c r="B199" s="16"/>
      <c r="C199" s="16"/>
      <c r="D199" s="27"/>
      <c r="E199" s="28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 ht="15.75">
      <c r="A200" s="26"/>
      <c r="B200" s="16"/>
      <c r="C200" s="16"/>
      <c r="D200" s="27"/>
      <c r="E200" s="28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 ht="15.75">
      <c r="A201" s="26"/>
      <c r="B201" s="16"/>
      <c r="C201" s="16"/>
      <c r="D201" s="27"/>
      <c r="E201" s="28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  <row r="202" spans="1:27" ht="15.75">
      <c r="A202" s="26"/>
      <c r="B202" s="16"/>
      <c r="C202" s="16"/>
      <c r="D202" s="27"/>
      <c r="E202" s="28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</row>
    <row r="203" spans="1:27" ht="15.75">
      <c r="A203" s="26"/>
      <c r="B203" s="16"/>
      <c r="C203" s="16"/>
      <c r="D203" s="27"/>
      <c r="E203" s="28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</row>
  </sheetData>
  <mergeCells count="1">
    <mergeCell ref="A1:G1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202010</vt:lpstr>
      <vt:lpstr>202009</vt:lpstr>
      <vt:lpstr>202008</vt:lpstr>
      <vt:lpstr>202007</vt:lpstr>
      <vt:lpstr>202006</vt:lpstr>
      <vt:lpstr>202003</vt:lpstr>
      <vt:lpstr>202004</vt:lpstr>
      <vt:lpstr>生活缴费</vt:lpstr>
      <vt:lpstr>202001</vt:lpstr>
      <vt:lpstr>202002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Tencent</dc:creator>
  <cp:lastModifiedBy>zhangzhm</cp:lastModifiedBy>
  <dcterms:created xsi:type="dcterms:W3CDTF">2006-09-13T11:21:00Z</dcterms:created>
  <dcterms:modified xsi:type="dcterms:W3CDTF">2020-10-09T08:03:54Z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2052-10.1.0.6748</vt:lpwstr>
  </property>
</Properties>
</file>